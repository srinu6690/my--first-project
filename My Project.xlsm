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Naga Srinu\Desktop\"/>
    </mc:Choice>
  </mc:AlternateContent>
  <xr:revisionPtr revIDLastSave="0" documentId="13_ncr:1_{421C7707-53E9-4982-B425-7CBC0BA7F9BB}" xr6:coauthVersionLast="47" xr6:coauthVersionMax="47" xr10:uidLastSave="{00000000-0000-0000-0000-000000000000}"/>
  <bookViews>
    <workbookView xWindow="-108" yWindow="-108" windowWidth="23256" windowHeight="12576" tabRatio="607" activeTab="5" xr2:uid="{4953297F-6F3B-4784-8235-28318BA0D2DD}"/>
  </bookViews>
  <sheets>
    <sheet name="05_Reports" sheetId="6" r:id="rId1"/>
    <sheet name="01_Raw_Data" sheetId="1" r:id="rId2"/>
    <sheet name="07_Chart_Data" sheetId="9" r:id="rId3"/>
    <sheet name="04_Pivot" sheetId="5" r:id="rId4"/>
    <sheet name="06_Dashboard" sheetId="7" r:id="rId5"/>
    <sheet name="03_Calculations" sheetId="3" r:id="rId6"/>
    <sheet name="02_Master_Data" sheetId="2" r:id="rId7"/>
  </sheets>
  <definedNames>
    <definedName name="AA">'07_Chart_Data'!$AC$2:$AD$6</definedName>
    <definedName name="BB">'07_Chart_Data'!$AC$3:$AD$6</definedName>
    <definedName name="Biology">'02_Master_Data'!$D$55:$D$58</definedName>
    <definedName name="Chemistry">'02_Master_Data'!$D$43:$D$46</definedName>
    <definedName name="Computer_science">'02_Master_Data'!$D$51:$D$54</definedName>
    <definedName name="dd">'07_Chart_Data'!$AD$3:$AD$6</definedName>
    <definedName name="Difficulty">tblDifficulty[Difficulty]</definedName>
    <definedName name="ee">'07_Chart_Data'!$X$3:$X$6</definedName>
    <definedName name="English">'02_Master_Data'!$D$47:$D$50</definedName>
    <definedName name="Mathematics">'02_Master_Data'!$D$35:$D$38</definedName>
    <definedName name="Physics">'02_Master_Data'!$D$39:$D$42</definedName>
    <definedName name="SessionList">tblSessions[Study_Sessions]</definedName>
    <definedName name="Slicer_Student_Name">#N/A</definedName>
    <definedName name="Slicer_Subject">#N/A</definedName>
    <definedName name="Slicer_Week_No">#N/A</definedName>
    <definedName name="ss">'07_Chart_Data'!$R$3:$R$8</definedName>
    <definedName name="StudentList">tblStudents[Student_Name]</definedName>
    <definedName name="Study">tblStudymethods[Study_Methods]</definedName>
    <definedName name="Teachers">tblTeachers[Teachers]</definedName>
    <definedName name="WeekList">'07_Chart_Data'!$AA$2:$AA$6</definedName>
  </definedNames>
  <calcPr calcId="191029"/>
  <pivotCaches>
    <pivotCache cacheId="3"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L4" i="7" l="1"/>
  <c r="F35" i="5"/>
  <c r="M6" i="7" s="1"/>
  <c r="F34" i="5"/>
  <c r="M5" i="7" s="1"/>
  <c r="F33" i="5"/>
  <c r="M4" i="7" s="1"/>
  <c r="Q2" i="9" s="1"/>
  <c r="G47" i="5"/>
  <c r="J14" i="5"/>
  <c r="H10" i="3" a="1"/>
  <c r="H10" i="3" l="1"/>
  <c r="I10" i="3" s="1" a="1"/>
  <c r="I10" i="3" s="1"/>
  <c r="B14" i="9"/>
  <c r="B13" i="9"/>
  <c r="AD4" i="9"/>
  <c r="AC4" i="7" s="1"/>
  <c r="AD5" i="9"/>
  <c r="AD4" i="7" s="1"/>
  <c r="AD6" i="9"/>
  <c r="AE4" i="7" s="1"/>
  <c r="AD3" i="9"/>
  <c r="AB4" i="7" s="1"/>
  <c r="AL2" i="7"/>
  <c r="AJ2" i="9"/>
  <c r="B37" i="3" a="1"/>
  <c r="B37" i="3" s="1"/>
  <c r="G343" i="1"/>
  <c r="AW20" i="7"/>
  <c r="AD3" i="7"/>
  <c r="H18" i="7"/>
  <c r="AC3" i="7" a="1"/>
  <c r="AC3" i="7" s="1"/>
  <c r="E18" i="7" a="1"/>
  <c r="E18" i="7" s="1"/>
  <c r="AB3" i="7"/>
  <c r="B18" i="7"/>
  <c r="AE1" i="7"/>
  <c r="K14" i="7"/>
  <c r="AD1" i="7"/>
  <c r="H14" i="7"/>
  <c r="AC1" i="7"/>
  <c r="E14" i="7"/>
  <c r="AB1" i="7"/>
  <c r="B14" i="7"/>
  <c r="AH4" i="9"/>
  <c r="AH5" i="9"/>
  <c r="AH6" i="9"/>
  <c r="AH7" i="9"/>
  <c r="AH8" i="9"/>
  <c r="AH3" i="9"/>
  <c r="AG3" i="9" a="1"/>
  <c r="AG3" i="9" s="1"/>
  <c r="X6" i="9"/>
  <c r="AA2" i="9" a="1"/>
  <c r="AA2" i="9" s="1"/>
  <c r="X5" i="9"/>
  <c r="X4" i="9"/>
  <c r="X3" i="9"/>
  <c r="Q3" i="9" a="1"/>
  <c r="Q3" i="9" s="1"/>
  <c r="R4" i="9"/>
  <c r="B9" i="3"/>
  <c r="B10" i="3"/>
  <c r="K24" i="7" l="1"/>
  <c r="H24" i="7"/>
  <c r="B24" i="7"/>
  <c r="E24" i="7"/>
  <c r="U5" i="9"/>
  <c r="U3" i="9"/>
  <c r="U4" i="9"/>
  <c r="U6" i="9"/>
  <c r="R6" i="9"/>
  <c r="R3" i="9"/>
  <c r="R5" i="9"/>
  <c r="R7" i="9"/>
  <c r="R8" i="9"/>
  <c r="B8" i="3"/>
  <c r="B13" i="3" a="1"/>
  <c r="B13" i="3" s="1"/>
  <c r="F47" i="9" a="1"/>
  <c r="A47" i="9" a="1"/>
  <c r="F34" i="9" a="1"/>
  <c r="F23" i="9" a="1"/>
  <c r="A23" i="9" a="1"/>
  <c r="A13" i="9" a="1"/>
  <c r="A3" i="9" a="1"/>
  <c r="A31" i="6" a="1"/>
  <c r="A31" i="6" s="1"/>
  <c r="A21" i="6" a="1"/>
  <c r="A21" i="6" s="1"/>
  <c r="E21" i="6" s="1" a="1"/>
  <c r="E21" i="6" s="1"/>
  <c r="D12" i="6" a="1"/>
  <c r="D12" i="6" s="1"/>
  <c r="B14" i="6"/>
  <c r="B13" i="6"/>
  <c r="B12" i="6"/>
  <c r="B11" i="6"/>
  <c r="I113" i="3"/>
  <c r="I112" i="3"/>
  <c r="I111" i="3"/>
  <c r="I110" i="3"/>
  <c r="I109" i="3"/>
  <c r="A135" i="3" a="1"/>
  <c r="A135" i="3" s="1"/>
  <c r="A117" i="3" a="1"/>
  <c r="A117" i="3" s="1"/>
  <c r="D117" i="3" s="1"/>
  <c r="B113" i="3"/>
  <c r="B112" i="3"/>
  <c r="B111" i="3"/>
  <c r="B110" i="3"/>
  <c r="B109" i="3"/>
  <c r="A95" i="3" a="1"/>
  <c r="A95" i="3" s="1"/>
  <c r="F95" i="3" s="1" a="1"/>
  <c r="F95" i="3" s="1"/>
  <c r="C83" i="3"/>
  <c r="A76" i="3" a="1"/>
  <c r="A76" i="3" s="1"/>
  <c r="C76" i="3" s="1"/>
  <c r="B69" i="3"/>
  <c r="B71" i="3"/>
  <c r="B70" i="3"/>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B14" i="3" a="1"/>
  <c r="B14" i="3" s="1"/>
  <c r="A37" i="3" a="1"/>
  <c r="A37" i="3" s="1"/>
  <c r="F37" i="3" s="1" a="1"/>
  <c r="F37" i="3" s="1"/>
  <c r="A18" i="3" a="1"/>
  <c r="A18" i="3" s="1"/>
  <c r="F18" i="3" s="1" a="1"/>
  <c r="F18" i="3" s="1"/>
  <c r="K18" i="7" l="1"/>
  <c r="AE3" i="7"/>
  <c r="A54" i="3" a="1"/>
  <c r="A54" i="3" s="1"/>
  <c r="E54" i="3" s="1"/>
  <c r="B100" i="3"/>
  <c r="H21" i="6" a="1"/>
  <c r="H21" i="6" s="1"/>
  <c r="L21" i="6" s="1"/>
  <c r="C98" i="3"/>
  <c r="B55" i="3"/>
  <c r="B95" i="3"/>
  <c r="F99" i="3" a="1"/>
  <c r="F99" i="3" s="1"/>
  <c r="B76" i="3" a="1"/>
  <c r="B76" i="3" s="1"/>
  <c r="D97" i="3"/>
  <c r="D76" i="3"/>
  <c r="C100" i="3"/>
  <c r="F96" i="3" a="1"/>
  <c r="F96" i="3" s="1"/>
  <c r="C87" i="3"/>
  <c r="B98" i="3"/>
  <c r="D100" i="3"/>
  <c r="C127" i="3"/>
  <c r="F127" i="3" s="1"/>
  <c r="C121" i="3"/>
  <c r="F121" i="3" s="1"/>
  <c r="D131" i="3"/>
  <c r="D126" i="3"/>
  <c r="D120" i="3"/>
  <c r="E129" i="3"/>
  <c r="E124" i="3"/>
  <c r="E118" i="3"/>
  <c r="C56" i="3"/>
  <c r="F56" i="3" s="1"/>
  <c r="C79" i="3"/>
  <c r="B99" i="3"/>
  <c r="C95" i="3"/>
  <c r="C96" i="3"/>
  <c r="D96" i="3"/>
  <c r="F97" i="3" a="1"/>
  <c r="F97" i="3" s="1"/>
  <c r="B117" i="3" a="1"/>
  <c r="B117" i="3" s="1"/>
  <c r="C131" i="3"/>
  <c r="F131" i="3" s="1"/>
  <c r="C125" i="3"/>
  <c r="F125" i="3" s="1"/>
  <c r="C120" i="3"/>
  <c r="F120" i="3" s="1"/>
  <c r="D130" i="3"/>
  <c r="D124" i="3"/>
  <c r="D119" i="3"/>
  <c r="E128" i="3"/>
  <c r="E122" i="3"/>
  <c r="C117" i="3"/>
  <c r="F117" i="3" s="1"/>
  <c r="C129" i="3"/>
  <c r="F129" i="3" s="1"/>
  <c r="C124" i="3"/>
  <c r="F124" i="3" s="1"/>
  <c r="C119" i="3"/>
  <c r="F119" i="3" s="1"/>
  <c r="D128" i="3"/>
  <c r="D123" i="3"/>
  <c r="D118" i="3"/>
  <c r="E126" i="3"/>
  <c r="E121" i="3"/>
  <c r="B18" i="3" a="1"/>
  <c r="B18" i="3" s="1"/>
  <c r="B54" i="3"/>
  <c r="E58" i="3"/>
  <c r="B72" i="3"/>
  <c r="E69" i="3" s="1"/>
  <c r="B96" i="3"/>
  <c r="C99" i="3"/>
  <c r="D99" i="3"/>
  <c r="F100" i="3" a="1"/>
  <c r="F100" i="3" s="1"/>
  <c r="E117" i="3"/>
  <c r="C128" i="3"/>
  <c r="F128" i="3" s="1"/>
  <c r="C123" i="3"/>
  <c r="F123" i="3" s="1"/>
  <c r="D127" i="3"/>
  <c r="D122" i="3"/>
  <c r="E130" i="3"/>
  <c r="E125" i="3"/>
  <c r="E120" i="3"/>
  <c r="B58" i="3"/>
  <c r="C54" i="3"/>
  <c r="F54" i="3" s="1"/>
  <c r="C55" i="3"/>
  <c r="F55" i="3" s="1"/>
  <c r="E57" i="3"/>
  <c r="C90" i="3"/>
  <c r="C86" i="3"/>
  <c r="C82" i="3"/>
  <c r="C78" i="3"/>
  <c r="E76" i="3"/>
  <c r="B97" i="3"/>
  <c r="D95" i="3"/>
  <c r="C97" i="3"/>
  <c r="D98" i="3"/>
  <c r="F98" i="3" a="1"/>
  <c r="F98" i="3" s="1"/>
  <c r="C130" i="3"/>
  <c r="F130" i="3" s="1"/>
  <c r="C126" i="3"/>
  <c r="F126" i="3" s="1"/>
  <c r="C122" i="3"/>
  <c r="F122" i="3" s="1"/>
  <c r="C118" i="3"/>
  <c r="F118" i="3" s="1"/>
  <c r="D129" i="3"/>
  <c r="D125" i="3"/>
  <c r="D121" i="3"/>
  <c r="E131" i="3"/>
  <c r="E127" i="3"/>
  <c r="E123" i="3"/>
  <c r="E119" i="3"/>
  <c r="F42" i="3" a="1"/>
  <c r="F42" i="3" s="1"/>
  <c r="F38" i="3" a="1"/>
  <c r="F38" i="3" s="1"/>
  <c r="C18" i="3" a="1"/>
  <c r="C18" i="3" s="1"/>
  <c r="F41" i="3" a="1"/>
  <c r="F41" i="3" s="1"/>
  <c r="D18" i="3" a="1"/>
  <c r="D18" i="3" s="1"/>
  <c r="H18" i="3" s="1" a="1"/>
  <c r="H18" i="3" s="1"/>
  <c r="E37" i="3" a="1"/>
  <c r="E37" i="3" s="1"/>
  <c r="F40" i="3" a="1"/>
  <c r="F40" i="3" s="1"/>
  <c r="C37" i="3" a="1"/>
  <c r="C37" i="3" s="1"/>
  <c r="H37" i="3" s="1" a="1"/>
  <c r="H37" i="3" s="1"/>
  <c r="B57" i="3"/>
  <c r="C58" i="3"/>
  <c r="F58" i="3" s="1"/>
  <c r="E56" i="3"/>
  <c r="C89" i="3"/>
  <c r="C85" i="3"/>
  <c r="C81" i="3"/>
  <c r="C77" i="3"/>
  <c r="F39" i="3" a="1"/>
  <c r="F39" i="3" s="1"/>
  <c r="B56" i="3"/>
  <c r="C57" i="3"/>
  <c r="F57" i="3" s="1"/>
  <c r="E55" i="3"/>
  <c r="C88" i="3"/>
  <c r="C84" i="3"/>
  <c r="C80" i="3"/>
  <c r="C26" i="6"/>
  <c r="I22" i="6"/>
  <c r="C21" i="6"/>
  <c r="I21" i="6"/>
  <c r="L22" i="6"/>
  <c r="B26" i="6"/>
  <c r="C23" i="6"/>
  <c r="E25" i="6" a="1"/>
  <c r="E25" i="6" s="1"/>
  <c r="B25" i="6"/>
  <c r="C22" i="6"/>
  <c r="E24" i="6" a="1"/>
  <c r="E24" i="6" s="1"/>
  <c r="B21" i="6"/>
  <c r="B22" i="6"/>
  <c r="B24" i="6"/>
  <c r="C25" i="6"/>
  <c r="E23" i="6" a="1"/>
  <c r="E23" i="6" s="1"/>
  <c r="J21" i="6"/>
  <c r="M21" i="6" s="1"/>
  <c r="J25" i="6"/>
  <c r="M25" i="6" s="1"/>
  <c r="L25" i="6"/>
  <c r="B23" i="6"/>
  <c r="C24" i="6"/>
  <c r="E26" i="6" a="1"/>
  <c r="E26" i="6" s="1"/>
  <c r="E22" i="6" a="1"/>
  <c r="E22" i="6" s="1"/>
  <c r="I24" i="6"/>
  <c r="J24" i="6"/>
  <c r="M24" i="6" s="1"/>
  <c r="L24" i="6"/>
  <c r="I23" i="6"/>
  <c r="J23" i="6"/>
  <c r="M23" i="6" s="1"/>
  <c r="L23" i="6"/>
  <c r="F47" i="9"/>
  <c r="A47" i="9"/>
  <c r="F34" i="9"/>
  <c r="F23" i="9"/>
  <c r="A23" i="9"/>
  <c r="A13" i="9"/>
  <c r="A3" i="9"/>
  <c r="B7" i="3"/>
  <c r="B12" i="3"/>
  <c r="B6" i="3"/>
  <c r="B5" i="3"/>
  <c r="Q11" i="1"/>
  <c r="Q10"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Q12" i="1"/>
  <c r="Q15" i="1"/>
  <c r="Q17" i="1"/>
  <c r="Q19" i="1"/>
  <c r="Q20" i="1"/>
  <c r="Q21" i="1"/>
  <c r="Q22" i="1"/>
  <c r="Q23" i="1"/>
  <c r="Q24" i="1"/>
  <c r="Q25" i="1"/>
  <c r="Q26" i="1"/>
  <c r="Q27" i="1"/>
  <c r="Q28" i="1"/>
  <c r="Q29" i="1"/>
  <c r="Q30" i="1"/>
  <c r="Q35" i="1"/>
  <c r="Q38" i="1"/>
  <c r="Q39" i="1"/>
  <c r="Q40" i="1"/>
  <c r="Q43" i="1"/>
  <c r="Q44" i="1"/>
  <c r="Q47" i="1"/>
  <c r="Q48" i="1"/>
  <c r="Q49" i="1"/>
  <c r="Q50" i="1"/>
  <c r="Q51" i="1"/>
  <c r="Q52" i="1"/>
  <c r="Q53" i="1"/>
  <c r="Q55" i="1"/>
  <c r="Q56" i="1"/>
  <c r="Q57" i="1"/>
  <c r="Q59" i="1"/>
  <c r="Q60" i="1"/>
  <c r="Q61" i="1"/>
  <c r="Q62" i="1"/>
  <c r="Q63" i="1"/>
  <c r="Q68" i="1"/>
  <c r="Q69" i="1"/>
  <c r="Q70" i="1"/>
  <c r="Q71" i="1"/>
  <c r="Q72" i="1"/>
  <c r="Q73" i="1"/>
  <c r="Q74" i="1"/>
  <c r="Q75" i="1"/>
  <c r="Q76" i="1"/>
  <c r="Q80" i="1"/>
  <c r="Q81" i="1"/>
  <c r="Q82" i="1"/>
  <c r="Q83" i="1"/>
  <c r="Q84" i="1"/>
  <c r="Q85" i="1"/>
  <c r="Q86" i="1"/>
  <c r="Q87" i="1"/>
  <c r="Q89" i="1"/>
  <c r="Q90" i="1"/>
  <c r="Q91" i="1"/>
  <c r="Q93" i="1"/>
  <c r="Q94" i="1"/>
  <c r="Q95" i="1"/>
  <c r="Q96" i="1"/>
  <c r="Q98" i="1"/>
  <c r="Q99" i="1"/>
  <c r="Q100" i="1"/>
  <c r="Q102" i="1"/>
  <c r="Q103" i="1"/>
  <c r="Q105" i="1"/>
  <c r="Q106" i="1"/>
  <c r="Q107" i="1"/>
  <c r="Q109" i="1"/>
  <c r="Q110" i="1"/>
  <c r="Q112" i="1"/>
  <c r="Q114" i="1"/>
  <c r="Q118" i="1"/>
  <c r="Q120" i="1"/>
  <c r="Q122" i="1"/>
  <c r="Q123" i="1"/>
  <c r="Q124" i="1"/>
  <c r="Q125" i="1"/>
  <c r="Q126" i="1"/>
  <c r="Q127" i="1"/>
  <c r="Q130" i="1"/>
  <c r="Q131" i="1"/>
  <c r="Q132" i="1"/>
  <c r="Q133" i="1"/>
  <c r="Q134" i="1"/>
  <c r="Q135" i="1"/>
  <c r="Q136" i="1"/>
  <c r="Q137" i="1"/>
  <c r="Q138" i="1"/>
  <c r="Q139" i="1"/>
  <c r="Q140" i="1"/>
  <c r="Q141" i="1"/>
  <c r="Q142" i="1"/>
  <c r="Q143" i="1"/>
  <c r="Q144" i="1"/>
  <c r="Q146" i="1"/>
  <c r="Q147" i="1"/>
  <c r="Q148" i="1"/>
  <c r="Q149" i="1"/>
  <c r="Q150" i="1"/>
  <c r="Q152" i="1"/>
  <c r="Q153" i="1"/>
  <c r="Q154" i="1"/>
  <c r="Q155" i="1"/>
  <c r="Q159" i="1"/>
  <c r="Q160" i="1"/>
  <c r="Q161" i="1"/>
  <c r="Q163" i="1"/>
  <c r="Q165" i="1"/>
  <c r="Q167" i="1"/>
  <c r="Q170" i="1"/>
  <c r="Q171" i="1"/>
  <c r="Q172" i="1"/>
  <c r="Q173" i="1"/>
  <c r="Q176" i="1"/>
  <c r="Q178" i="1"/>
  <c r="Q182" i="1"/>
  <c r="Q184" i="1"/>
  <c r="Q185" i="1"/>
  <c r="Q187" i="1"/>
  <c r="Q188" i="1"/>
  <c r="Q191" i="1"/>
  <c r="Q193" i="1"/>
  <c r="Q195" i="1"/>
  <c r="Q196" i="1"/>
  <c r="Q197" i="1"/>
  <c r="Q198" i="1"/>
  <c r="Q199" i="1"/>
  <c r="Q200" i="1"/>
  <c r="Q201" i="1"/>
  <c r="Q203" i="1"/>
  <c r="Q206" i="1"/>
  <c r="Q207" i="1"/>
  <c r="Q208" i="1"/>
  <c r="Q209" i="1"/>
  <c r="Q210" i="1"/>
  <c r="Q211" i="1"/>
  <c r="Q212" i="1"/>
  <c r="Q213" i="1"/>
  <c r="Q216" i="1"/>
  <c r="Q219" i="1"/>
  <c r="Q220" i="1"/>
  <c r="Q221" i="1"/>
  <c r="Q224" i="1"/>
  <c r="Q226" i="1"/>
  <c r="Q227" i="1"/>
  <c r="Q231" i="1"/>
  <c r="Q232" i="1"/>
  <c r="Q233" i="1"/>
  <c r="Q234" i="1"/>
  <c r="Q235" i="1"/>
  <c r="Q239" i="1"/>
  <c r="Q240" i="1"/>
  <c r="Q241" i="1"/>
  <c r="Q245" i="1"/>
  <c r="Q246" i="1"/>
  <c r="Q250" i="1"/>
  <c r="Q252" i="1"/>
  <c r="Q255" i="1"/>
  <c r="Q256" i="1"/>
  <c r="Q257" i="1"/>
  <c r="Q259" i="1"/>
  <c r="Q260" i="1"/>
  <c r="Q263" i="1"/>
  <c r="Q266" i="1"/>
  <c r="Q267" i="1"/>
  <c r="Q270" i="1"/>
  <c r="Q273" i="1"/>
  <c r="Q274" i="1"/>
  <c r="Q276" i="1"/>
  <c r="Q277" i="1"/>
  <c r="Q279" i="1"/>
  <c r="Q280" i="1"/>
  <c r="Q281" i="1"/>
  <c r="Q283" i="1"/>
  <c r="Q285" i="1"/>
  <c r="Q287" i="1"/>
  <c r="Q293" i="1"/>
  <c r="Q294" i="1"/>
  <c r="Q297" i="1"/>
  <c r="Q299" i="1"/>
  <c r="Q300" i="1"/>
  <c r="Q301" i="1"/>
  <c r="Q302" i="1"/>
  <c r="Q303" i="1"/>
  <c r="Q308" i="1"/>
  <c r="Q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G9" i="1"/>
  <c r="F9" i="1"/>
  <c r="E9" i="1"/>
  <c r="D9" i="1"/>
  <c r="G37" i="3" l="1" a="1"/>
  <c r="G37" i="3" s="1"/>
  <c r="F82" i="3"/>
  <c r="G82" i="3" s="1"/>
  <c r="F86" i="3"/>
  <c r="G86" i="3" s="1"/>
  <c r="E95" i="3"/>
  <c r="G95" i="3" s="1"/>
  <c r="D56" i="3"/>
  <c r="F80" i="3"/>
  <c r="G80" i="3" s="1"/>
  <c r="F83" i="3"/>
  <c r="G83" i="3" s="1"/>
  <c r="F79" i="3"/>
  <c r="G79" i="3" s="1"/>
  <c r="F90" i="3"/>
  <c r="G90" i="3" s="1"/>
  <c r="D25" i="6"/>
  <c r="F81" i="3"/>
  <c r="G81" i="3" s="1"/>
  <c r="E98" i="3"/>
  <c r="G98" i="3" s="1"/>
  <c r="F78" i="3"/>
  <c r="G78" i="3" s="1"/>
  <c r="D58" i="3"/>
  <c r="F76" i="3"/>
  <c r="G76" i="3" s="1"/>
  <c r="F89" i="3"/>
  <c r="G89" i="3" s="1"/>
  <c r="F77" i="3"/>
  <c r="G77" i="3" s="1"/>
  <c r="F84" i="3"/>
  <c r="G84" i="3" s="1"/>
  <c r="F87" i="3"/>
  <c r="G87" i="3" s="1"/>
  <c r="J22" i="6"/>
  <c r="M22" i="6" s="1"/>
  <c r="I25" i="6"/>
  <c r="C40" i="9"/>
  <c r="C38" i="9"/>
  <c r="C36" i="9"/>
  <c r="C34" i="9"/>
  <c r="B34" i="9"/>
  <c r="B40" i="9"/>
  <c r="B38" i="9"/>
  <c r="B36" i="9"/>
  <c r="C41" i="9"/>
  <c r="C39" i="9"/>
  <c r="C37" i="9"/>
  <c r="C35" i="9"/>
  <c r="B41" i="9"/>
  <c r="B39" i="9"/>
  <c r="B37" i="9"/>
  <c r="B35" i="9"/>
  <c r="A68" i="9" a="1"/>
  <c r="A68" i="9" s="1"/>
  <c r="G58" i="9"/>
  <c r="B59" i="9"/>
  <c r="H50" i="9"/>
  <c r="G48" i="9"/>
  <c r="G52" i="9"/>
  <c r="H27" i="9"/>
  <c r="G25" i="9"/>
  <c r="G23" i="9"/>
  <c r="C26" i="9"/>
  <c r="B26" i="9"/>
  <c r="G15" i="9"/>
  <c r="B16" i="9"/>
  <c r="D6" i="9"/>
  <c r="C4" i="9"/>
  <c r="C8" i="9"/>
  <c r="B6" i="9"/>
  <c r="B15" i="6"/>
  <c r="E68" i="9" a="1"/>
  <c r="E68" i="9" s="1"/>
  <c r="G59" i="9"/>
  <c r="B62" i="9"/>
  <c r="B58" i="9"/>
  <c r="H51" i="9"/>
  <c r="G49" i="9"/>
  <c r="G47" i="9"/>
  <c r="H24" i="9"/>
  <c r="H28" i="9"/>
  <c r="G26" i="9"/>
  <c r="C23" i="9"/>
  <c r="B23" i="9"/>
  <c r="G13" i="9"/>
  <c r="H13" i="9" s="1"/>
  <c r="B17" i="9"/>
  <c r="G3" i="9" a="1"/>
  <c r="D7" i="9"/>
  <c r="C5" i="9"/>
  <c r="C3" i="9"/>
  <c r="B7" i="9"/>
  <c r="B17" i="6"/>
  <c r="D68" i="9" a="1"/>
  <c r="D68" i="9" s="1"/>
  <c r="G60" i="9"/>
  <c r="B61" i="9"/>
  <c r="H48" i="9"/>
  <c r="H52" i="9"/>
  <c r="G50" i="9"/>
  <c r="H25" i="9"/>
  <c r="H23" i="9"/>
  <c r="G27" i="9"/>
  <c r="C24" i="9"/>
  <c r="B24" i="9"/>
  <c r="B18" i="9"/>
  <c r="D4" i="9"/>
  <c r="D8" i="9"/>
  <c r="C6" i="9"/>
  <c r="B4" i="9"/>
  <c r="B8" i="9"/>
  <c r="B68" i="9" a="1"/>
  <c r="B68" i="9" s="1"/>
  <c r="G61" i="9"/>
  <c r="B60" i="9"/>
  <c r="H49" i="9"/>
  <c r="H47" i="9"/>
  <c r="G51" i="9"/>
  <c r="H26" i="9"/>
  <c r="G24" i="9"/>
  <c r="G28" i="9"/>
  <c r="C25" i="9"/>
  <c r="B25" i="9"/>
  <c r="G14" i="9"/>
  <c r="B15" i="9"/>
  <c r="D5" i="9"/>
  <c r="D3" i="9"/>
  <c r="C7" i="9"/>
  <c r="B5" i="9"/>
  <c r="B3" i="9"/>
  <c r="B16" i="6"/>
  <c r="F13" i="6"/>
  <c r="I13" i="6" s="1"/>
  <c r="E16" i="6"/>
  <c r="G37" i="9"/>
  <c r="B48" i="9"/>
  <c r="E44" i="6"/>
  <c r="G44" i="6" s="1"/>
  <c r="D44" i="6"/>
  <c r="B32" i="6"/>
  <c r="J31" i="6" a="1"/>
  <c r="E68" i="3"/>
  <c r="G16" i="6"/>
  <c r="G17" i="6"/>
  <c r="F17" i="6"/>
  <c r="I17" i="6" s="1"/>
  <c r="E13" i="6"/>
  <c r="G34" i="9"/>
  <c r="B50" i="9"/>
  <c r="E32" i="6"/>
  <c r="G32" i="6" s="1"/>
  <c r="D32" i="6"/>
  <c r="C34" i="6"/>
  <c r="B36" i="6"/>
  <c r="K23" i="6"/>
  <c r="E37" i="6"/>
  <c r="D37" i="6"/>
  <c r="C39" i="6"/>
  <c r="B41" i="6"/>
  <c r="K24" i="6"/>
  <c r="D34" i="6"/>
  <c r="C36" i="6"/>
  <c r="B38" i="6"/>
  <c r="K25" i="6"/>
  <c r="D39" i="6"/>
  <c r="D24" i="6"/>
  <c r="B35" i="6"/>
  <c r="E39" i="6"/>
  <c r="F39" i="6" s="1"/>
  <c r="B39" i="6"/>
  <c r="E136" i="3"/>
  <c r="C138" i="3"/>
  <c r="F138" i="3" s="1"/>
  <c r="E137" i="3"/>
  <c r="C139" i="3"/>
  <c r="F139" i="3" s="1"/>
  <c r="D55" i="3"/>
  <c r="C136" i="3"/>
  <c r="F136" i="3" s="1"/>
  <c r="B142" i="3" a="1"/>
  <c r="B142" i="3" s="1"/>
  <c r="F88" i="3"/>
  <c r="G88" i="3" s="1"/>
  <c r="D140" i="3"/>
  <c r="E139" i="3"/>
  <c r="C135" i="3"/>
  <c r="F135" i="3" s="1"/>
  <c r="F85" i="3"/>
  <c r="G85" i="3" s="1"/>
  <c r="C137" i="3"/>
  <c r="F137" i="3" s="1"/>
  <c r="B139" i="3" a="1"/>
  <c r="B139" i="3" s="1"/>
  <c r="G12" i="6"/>
  <c r="E99" i="3"/>
  <c r="G99" i="3" s="1"/>
  <c r="F15" i="6"/>
  <c r="I15" i="6" s="1"/>
  <c r="F16" i="6"/>
  <c r="I16" i="6" s="1"/>
  <c r="G15" i="6"/>
  <c r="E17" i="6"/>
  <c r="G35" i="9"/>
  <c r="B47" i="9"/>
  <c r="E36" i="6"/>
  <c r="D36" i="6"/>
  <c r="C38" i="6"/>
  <c r="B40" i="6"/>
  <c r="E41" i="6"/>
  <c r="G41" i="6" s="1"/>
  <c r="D41" i="6"/>
  <c r="C43" i="6"/>
  <c r="B45" i="6"/>
  <c r="E34" i="6"/>
  <c r="D38" i="6"/>
  <c r="C40" i="6"/>
  <c r="B42" i="6"/>
  <c r="D22" i="6"/>
  <c r="D21" i="6"/>
  <c r="C41" i="6"/>
  <c r="C45" i="6"/>
  <c r="E140" i="3"/>
  <c r="C142" i="3"/>
  <c r="F142" i="3" s="1"/>
  <c r="E141" i="3"/>
  <c r="B137" i="3" a="1"/>
  <c r="B137" i="3" s="1"/>
  <c r="D54" i="3"/>
  <c r="E138" i="3"/>
  <c r="C140" i="3"/>
  <c r="F140" i="3" s="1"/>
  <c r="E97" i="3"/>
  <c r="G97" i="3" s="1"/>
  <c r="C141" i="3"/>
  <c r="F141" i="3" s="1"/>
  <c r="E96" i="3"/>
  <c r="G96" i="3" s="1"/>
  <c r="E135" i="3"/>
  <c r="E14" i="6"/>
  <c r="G14" i="6"/>
  <c r="E12" i="6"/>
  <c r="E15" i="6"/>
  <c r="G36" i="9"/>
  <c r="B49" i="9"/>
  <c r="E40" i="6"/>
  <c r="G40" i="6" s="1"/>
  <c r="D40" i="6"/>
  <c r="C42" i="6"/>
  <c r="B44" i="6"/>
  <c r="E45" i="6"/>
  <c r="G45" i="6" s="1"/>
  <c r="D45" i="6"/>
  <c r="B33" i="6"/>
  <c r="B31" i="6"/>
  <c r="E38" i="6"/>
  <c r="G38" i="6" s="1"/>
  <c r="D42" i="6"/>
  <c r="C44" i="6"/>
  <c r="E31" i="6"/>
  <c r="D26" i="6"/>
  <c r="F12" i="6"/>
  <c r="I12" i="6" s="1"/>
  <c r="B43" i="6"/>
  <c r="E43" i="6"/>
  <c r="F43" i="6" s="1"/>
  <c r="D23" i="6"/>
  <c r="D43" i="6"/>
  <c r="D137" i="3"/>
  <c r="B136" i="3" a="1"/>
  <c r="B136" i="3" s="1"/>
  <c r="D138" i="3"/>
  <c r="B141" i="3" a="1"/>
  <c r="B141" i="3" s="1"/>
  <c r="E142" i="3"/>
  <c r="D135" i="3"/>
  <c r="E100" i="3"/>
  <c r="G100" i="3" s="1"/>
  <c r="D136" i="3"/>
  <c r="G38" i="9"/>
  <c r="B51" i="9"/>
  <c r="G13" i="6"/>
  <c r="F14" i="6"/>
  <c r="I14" i="6" s="1"/>
  <c r="E33" i="6"/>
  <c r="G33" i="6" s="1"/>
  <c r="D33" i="6"/>
  <c r="C35" i="6"/>
  <c r="B37" i="6"/>
  <c r="K21" i="6"/>
  <c r="E42" i="6"/>
  <c r="G42" i="6" s="1"/>
  <c r="C32" i="6"/>
  <c r="B34" i="6"/>
  <c r="E35" i="6"/>
  <c r="F35" i="6" s="1"/>
  <c r="K22" i="6"/>
  <c r="C33" i="6"/>
  <c r="D35" i="6"/>
  <c r="C37" i="6"/>
  <c r="D31" i="6"/>
  <c r="D141" i="3"/>
  <c r="B140" i="3" a="1"/>
  <c r="B140" i="3" s="1"/>
  <c r="D142" i="3"/>
  <c r="D139" i="3"/>
  <c r="B138" i="3" a="1"/>
  <c r="B138" i="3" s="1"/>
  <c r="D57" i="3"/>
  <c r="B135" i="3" a="1"/>
  <c r="B135" i="3" s="1"/>
  <c r="C31" i="6"/>
  <c r="F45" i="6"/>
  <c r="B11" i="3" a="1"/>
  <c r="B11" i="3" s="1"/>
  <c r="D37" i="3" a="1"/>
  <c r="D37" i="3" s="1"/>
  <c r="E18" i="3" a="1"/>
  <c r="E18" i="3" s="1"/>
  <c r="G18" i="3" s="1" a="1"/>
  <c r="G18" i="3" s="1"/>
  <c r="F32" i="6" l="1"/>
  <c r="F42" i="6"/>
  <c r="F33" i="6"/>
  <c r="F44" i="6"/>
  <c r="F40" i="6"/>
  <c r="G39" i="6"/>
  <c r="F41" i="6"/>
  <c r="G43" i="6"/>
  <c r="H14" i="9"/>
  <c r="F38" i="6"/>
  <c r="G35" i="6"/>
  <c r="H15" i="9"/>
  <c r="J31" i="6"/>
  <c r="K32" i="6"/>
  <c r="L38" i="6"/>
  <c r="K33" i="6"/>
  <c r="L45" i="6"/>
  <c r="K42" i="6"/>
  <c r="L40" i="6"/>
  <c r="K36" i="6"/>
  <c r="K44" i="6"/>
  <c r="K45" i="6"/>
  <c r="L43" i="6"/>
  <c r="K43" i="6"/>
  <c r="L41" i="6"/>
  <c r="K38" i="6"/>
  <c r="L36" i="6"/>
  <c r="L34" i="6"/>
  <c r="L42" i="6"/>
  <c r="K41" i="6"/>
  <c r="L39" i="6"/>
  <c r="K39" i="6"/>
  <c r="L37" i="6"/>
  <c r="K34" i="6"/>
  <c r="L32" i="6"/>
  <c r="K40" i="6"/>
  <c r="K37" i="6"/>
  <c r="L35" i="6"/>
  <c r="K35" i="6"/>
  <c r="L33" i="6"/>
  <c r="L44" i="6"/>
  <c r="F31" i="6"/>
  <c r="G31" i="6"/>
  <c r="G34" i="6"/>
  <c r="F34" i="6"/>
  <c r="G36" i="6"/>
  <c r="F36" i="6"/>
  <c r="G37" i="6"/>
  <c r="F37" i="6"/>
  <c r="G3" i="9"/>
  <c r="H3" i="9" s="1"/>
  <c r="H7" i="9"/>
  <c r="H6" i="9"/>
  <c r="H5" i="9"/>
  <c r="H4" i="9"/>
  <c r="N34" i="6" l="1"/>
  <c r="M34" i="6"/>
  <c r="M41" i="6"/>
  <c r="N41" i="6"/>
  <c r="N38" i="6"/>
  <c r="M38" i="6"/>
  <c r="N45" i="6"/>
  <c r="M45" i="6"/>
  <c r="M42" i="6"/>
  <c r="N42" i="6"/>
  <c r="M32" i="6"/>
  <c r="N35" i="6"/>
  <c r="M35" i="6"/>
  <c r="N37" i="6"/>
  <c r="M37" i="6"/>
  <c r="N44" i="6"/>
  <c r="M44" i="6"/>
  <c r="L31" i="6"/>
  <c r="K31" i="6"/>
  <c r="N40" i="6"/>
  <c r="M40" i="6"/>
  <c r="M39" i="6"/>
  <c r="N39" i="6"/>
  <c r="M43" i="6"/>
  <c r="N43" i="6"/>
  <c r="N36" i="6"/>
  <c r="M36" i="6"/>
  <c r="N32" i="6"/>
  <c r="N33" i="6"/>
  <c r="M33" i="6"/>
  <c r="N31" i="6"/>
  <c r="M31" i="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<sst xmlns="http://schemas.openxmlformats.org/spreadsheetml/2006/main" count="4909" uniqueCount="572">
  <si>
    <t>Record_ID</t>
  </si>
  <si>
    <t>Date</t>
  </si>
  <si>
    <t>Student_ID</t>
  </si>
  <si>
    <t>Student_Name</t>
  </si>
  <si>
    <t>Gender</t>
  </si>
  <si>
    <t>Grade</t>
  </si>
  <si>
    <t>Class</t>
  </si>
  <si>
    <t>Subject</t>
  </si>
  <si>
    <t>Topic</t>
  </si>
  <si>
    <t>Study_Session</t>
  </si>
  <si>
    <t>Planned_Hours</t>
  </si>
  <si>
    <t>Actual_Study_Hours</t>
  </si>
  <si>
    <t>Assignment_Given</t>
  </si>
  <si>
    <t>Assignment_Completed</t>
  </si>
  <si>
    <t>Test_Score</t>
  </si>
  <si>
    <t>Attendence_Status</t>
  </si>
  <si>
    <t>Attendance_Percentage</t>
  </si>
  <si>
    <t>Diffculty_Level</t>
  </si>
  <si>
    <t>Study_Method</t>
  </si>
  <si>
    <t>Teacher</t>
  </si>
  <si>
    <t>Remarks</t>
  </si>
  <si>
    <t>R0001</t>
  </si>
  <si>
    <t>R0002</t>
  </si>
  <si>
    <t>R0003</t>
  </si>
  <si>
    <t>R0004</t>
  </si>
  <si>
    <t>R0005</t>
  </si>
  <si>
    <t>ST001</t>
  </si>
  <si>
    <t>ST002</t>
  </si>
  <si>
    <t>ST003</t>
  </si>
  <si>
    <t>ST004</t>
  </si>
  <si>
    <t>ST005</t>
  </si>
  <si>
    <t>Rahul</t>
  </si>
  <si>
    <t>Priya</t>
  </si>
  <si>
    <t>Arjun</t>
  </si>
  <si>
    <t>Sneha</t>
  </si>
  <si>
    <t>Kiran</t>
  </si>
  <si>
    <t>Male</t>
  </si>
  <si>
    <t>Female</t>
  </si>
  <si>
    <t>A</t>
  </si>
  <si>
    <t>B</t>
  </si>
  <si>
    <t>Physics</t>
  </si>
  <si>
    <t>Mathematics</t>
  </si>
  <si>
    <t>Chemistry</t>
  </si>
  <si>
    <t>English</t>
  </si>
  <si>
    <t>Computer Science</t>
  </si>
  <si>
    <t>Algebra</t>
  </si>
  <si>
    <t>Motion</t>
  </si>
  <si>
    <t>Organic Chemistry</t>
  </si>
  <si>
    <t>Excel</t>
  </si>
  <si>
    <t>Morning</t>
  </si>
  <si>
    <t>Evening</t>
  </si>
  <si>
    <t>Night</t>
  </si>
  <si>
    <t>Yes</t>
  </si>
  <si>
    <t>Present</t>
  </si>
  <si>
    <t>Medium</t>
  </si>
  <si>
    <t>Hard</t>
  </si>
  <si>
    <t>Easy</t>
  </si>
  <si>
    <t>Practice</t>
  </si>
  <si>
    <t>Self Study</t>
  </si>
  <si>
    <t>Vedio Learning</t>
  </si>
  <si>
    <t>Revision</t>
  </si>
  <si>
    <t>Mr.Kumar</t>
  </si>
  <si>
    <t>Ms.Anitha</t>
  </si>
  <si>
    <t>Mr.Raj</t>
  </si>
  <si>
    <t>Ms.Priya</t>
  </si>
  <si>
    <t>Mr.David</t>
  </si>
  <si>
    <t>ST006</t>
  </si>
  <si>
    <t>ST007</t>
  </si>
  <si>
    <t>ST008</t>
  </si>
  <si>
    <t>ST009</t>
  </si>
  <si>
    <t>ST010</t>
  </si>
  <si>
    <t>ST011</t>
  </si>
  <si>
    <t>ST012</t>
  </si>
  <si>
    <t>ST013</t>
  </si>
  <si>
    <t>ST014</t>
  </si>
  <si>
    <t>ST015</t>
  </si>
  <si>
    <t>Anjali</t>
  </si>
  <si>
    <t>Rohit</t>
  </si>
  <si>
    <t>Divya</t>
  </si>
  <si>
    <t>Vikaram</t>
  </si>
  <si>
    <t>Neha</t>
  </si>
  <si>
    <t>Sai</t>
  </si>
  <si>
    <t>Pooja</t>
  </si>
  <si>
    <t>Naveen</t>
  </si>
  <si>
    <t>Kavya</t>
  </si>
  <si>
    <t>Akhil</t>
  </si>
  <si>
    <t>Biology</t>
  </si>
  <si>
    <t>Subjects</t>
  </si>
  <si>
    <t>Afternoon</t>
  </si>
  <si>
    <t>Difficulty</t>
  </si>
  <si>
    <t>Online Class</t>
  </si>
  <si>
    <t>Group Study</t>
  </si>
  <si>
    <t>Teachers</t>
  </si>
  <si>
    <t>Ms.Sneha</t>
  </si>
  <si>
    <t>Students</t>
  </si>
  <si>
    <t>Geometry</t>
  </si>
  <si>
    <t>Trigonometry</t>
  </si>
  <si>
    <t>Statistics</t>
  </si>
  <si>
    <t>Force</t>
  </si>
  <si>
    <t>Electricity</t>
  </si>
  <si>
    <t>Optics</t>
  </si>
  <si>
    <t>Chemical Bonding</t>
  </si>
  <si>
    <t>Acids and Bases</t>
  </si>
  <si>
    <t>Thermodynamics</t>
  </si>
  <si>
    <t>Grammar</t>
  </si>
  <si>
    <t>Writing</t>
  </si>
  <si>
    <t>Reading</t>
  </si>
  <si>
    <t>Vocabulary</t>
  </si>
  <si>
    <t>Python</t>
  </si>
  <si>
    <t>Database</t>
  </si>
  <si>
    <t>Networking</t>
  </si>
  <si>
    <t>Cell Biology</t>
  </si>
  <si>
    <t>Genetics</t>
  </si>
  <si>
    <t>Human Body</t>
  </si>
  <si>
    <t>Ecology</t>
  </si>
  <si>
    <t>R0006</t>
  </si>
  <si>
    <t>R0007</t>
  </si>
  <si>
    <t>R0008</t>
  </si>
  <si>
    <t>R0009</t>
  </si>
  <si>
    <t>R0011</t>
  </si>
  <si>
    <t>R0012</t>
  </si>
  <si>
    <t>R0013</t>
  </si>
  <si>
    <t>R0014</t>
  </si>
  <si>
    <t>R0015</t>
  </si>
  <si>
    <t>R0016</t>
  </si>
  <si>
    <t>R0017</t>
  </si>
  <si>
    <t>R0018</t>
  </si>
  <si>
    <t>R0019</t>
  </si>
  <si>
    <t>R0020</t>
  </si>
  <si>
    <t>R0021</t>
  </si>
  <si>
    <t>R0022</t>
  </si>
  <si>
    <t>R0023</t>
  </si>
  <si>
    <t>R0024</t>
  </si>
  <si>
    <t>R0025</t>
  </si>
  <si>
    <t>R0026</t>
  </si>
  <si>
    <t>R0027</t>
  </si>
  <si>
    <t>R0028</t>
  </si>
  <si>
    <t>R0029</t>
  </si>
  <si>
    <t>R0030</t>
  </si>
  <si>
    <t>R0031</t>
  </si>
  <si>
    <t>R0032</t>
  </si>
  <si>
    <t>R0033</t>
  </si>
  <si>
    <t>R0034</t>
  </si>
  <si>
    <t>R0035</t>
  </si>
  <si>
    <t>R0036</t>
  </si>
  <si>
    <t>R0037</t>
  </si>
  <si>
    <t>R0038</t>
  </si>
  <si>
    <t>R0039</t>
  </si>
  <si>
    <t>R0040</t>
  </si>
  <si>
    <t>R0041</t>
  </si>
  <si>
    <t>R0042</t>
  </si>
  <si>
    <t>R0043</t>
  </si>
  <si>
    <t>R0044</t>
  </si>
  <si>
    <t>R0045</t>
  </si>
  <si>
    <t>R0046</t>
  </si>
  <si>
    <t>R0047</t>
  </si>
  <si>
    <t>R0048</t>
  </si>
  <si>
    <t>R0049</t>
  </si>
  <si>
    <t>R0050</t>
  </si>
  <si>
    <t>R0051</t>
  </si>
  <si>
    <t>R0052</t>
  </si>
  <si>
    <t>R0053</t>
  </si>
  <si>
    <t>R0054</t>
  </si>
  <si>
    <t>R0055</t>
  </si>
  <si>
    <t>R0056</t>
  </si>
  <si>
    <t>R0057</t>
  </si>
  <si>
    <t>R0058</t>
  </si>
  <si>
    <t>R0059</t>
  </si>
  <si>
    <t>R0060</t>
  </si>
  <si>
    <t>R0061</t>
  </si>
  <si>
    <t>R0062</t>
  </si>
  <si>
    <t>R0063</t>
  </si>
  <si>
    <t>R0064</t>
  </si>
  <si>
    <t>R0065</t>
  </si>
  <si>
    <t>R0066</t>
  </si>
  <si>
    <t>R0067</t>
  </si>
  <si>
    <t>R0068</t>
  </si>
  <si>
    <t>R0069</t>
  </si>
  <si>
    <t>R0070</t>
  </si>
  <si>
    <t>R0071</t>
  </si>
  <si>
    <t>R0072</t>
  </si>
  <si>
    <t>R0073</t>
  </si>
  <si>
    <t>R0074</t>
  </si>
  <si>
    <t>R0075</t>
  </si>
  <si>
    <t>R0076</t>
  </si>
  <si>
    <t>R0077</t>
  </si>
  <si>
    <t>R0078</t>
  </si>
  <si>
    <t>R0079</t>
  </si>
  <si>
    <t>R0080</t>
  </si>
  <si>
    <t>R0081</t>
  </si>
  <si>
    <t>R0082</t>
  </si>
  <si>
    <t>R0083</t>
  </si>
  <si>
    <t>R0084</t>
  </si>
  <si>
    <t>R0085</t>
  </si>
  <si>
    <t>R0086</t>
  </si>
  <si>
    <t>R0087</t>
  </si>
  <si>
    <t>R0088</t>
  </si>
  <si>
    <t>R0089</t>
  </si>
  <si>
    <t>R0090</t>
  </si>
  <si>
    <t>R0091</t>
  </si>
  <si>
    <t>R0092</t>
  </si>
  <si>
    <t>R0093</t>
  </si>
  <si>
    <t>R0094</t>
  </si>
  <si>
    <t>R0095</t>
  </si>
  <si>
    <t>R0096</t>
  </si>
  <si>
    <t>R0097</t>
  </si>
  <si>
    <t>R0098</t>
  </si>
  <si>
    <t>R0099</t>
  </si>
  <si>
    <t>R0100</t>
  </si>
  <si>
    <t>R0101</t>
  </si>
  <si>
    <t>R0102</t>
  </si>
  <si>
    <t>R0103</t>
  </si>
  <si>
    <t>R0104</t>
  </si>
  <si>
    <t>R0105</t>
  </si>
  <si>
    <t>R0106</t>
  </si>
  <si>
    <t>R0107</t>
  </si>
  <si>
    <t>R0108</t>
  </si>
  <si>
    <t>R0109</t>
  </si>
  <si>
    <t>R0110</t>
  </si>
  <si>
    <t>R0111</t>
  </si>
  <si>
    <t>R0112</t>
  </si>
  <si>
    <t>R0113</t>
  </si>
  <si>
    <t>R0114</t>
  </si>
  <si>
    <t>R0115</t>
  </si>
  <si>
    <t>R0116</t>
  </si>
  <si>
    <t>R0117</t>
  </si>
  <si>
    <t>R0118</t>
  </si>
  <si>
    <t>R0119</t>
  </si>
  <si>
    <t>R0120</t>
  </si>
  <si>
    <t>R0121</t>
  </si>
  <si>
    <t>R0122</t>
  </si>
  <si>
    <t>R0123</t>
  </si>
  <si>
    <t>R0124</t>
  </si>
  <si>
    <t>R0125</t>
  </si>
  <si>
    <t>R0126</t>
  </si>
  <si>
    <t>R0127</t>
  </si>
  <si>
    <t>R0128</t>
  </si>
  <si>
    <t>R0129</t>
  </si>
  <si>
    <t>R0130</t>
  </si>
  <si>
    <t>R0131</t>
  </si>
  <si>
    <t>R0132</t>
  </si>
  <si>
    <t>R0133</t>
  </si>
  <si>
    <t>R0134</t>
  </si>
  <si>
    <t>R0135</t>
  </si>
  <si>
    <t>R0136</t>
  </si>
  <si>
    <t>R0137</t>
  </si>
  <si>
    <t>R0138</t>
  </si>
  <si>
    <t>R0139</t>
  </si>
  <si>
    <t>R0140</t>
  </si>
  <si>
    <t>R0141</t>
  </si>
  <si>
    <t>R0142</t>
  </si>
  <si>
    <t>R0143</t>
  </si>
  <si>
    <t>R0144</t>
  </si>
  <si>
    <t>R0145</t>
  </si>
  <si>
    <t>R0146</t>
  </si>
  <si>
    <t>R0147</t>
  </si>
  <si>
    <t>R0148</t>
  </si>
  <si>
    <t>R0149</t>
  </si>
  <si>
    <t>R0150</t>
  </si>
  <si>
    <t>R0151</t>
  </si>
  <si>
    <t>R0152</t>
  </si>
  <si>
    <t>R0153</t>
  </si>
  <si>
    <t>R0154</t>
  </si>
  <si>
    <t>R0155</t>
  </si>
  <si>
    <t>R0156</t>
  </si>
  <si>
    <t>R0157</t>
  </si>
  <si>
    <t>R0158</t>
  </si>
  <si>
    <t>R0159</t>
  </si>
  <si>
    <t>R0160</t>
  </si>
  <si>
    <t>R0161</t>
  </si>
  <si>
    <t>R0162</t>
  </si>
  <si>
    <t>R0163</t>
  </si>
  <si>
    <t>R0164</t>
  </si>
  <si>
    <t>R0165</t>
  </si>
  <si>
    <t>R0166</t>
  </si>
  <si>
    <t>R0167</t>
  </si>
  <si>
    <t>R0168</t>
  </si>
  <si>
    <t>R0169</t>
  </si>
  <si>
    <t>R0170</t>
  </si>
  <si>
    <t>R0171</t>
  </si>
  <si>
    <t>R0172</t>
  </si>
  <si>
    <t>R0173</t>
  </si>
  <si>
    <t>R0174</t>
  </si>
  <si>
    <t>R0175</t>
  </si>
  <si>
    <t>R0176</t>
  </si>
  <si>
    <t>R0177</t>
  </si>
  <si>
    <t>R0178</t>
  </si>
  <si>
    <t>R0179</t>
  </si>
  <si>
    <t>R0180</t>
  </si>
  <si>
    <t>R0181</t>
  </si>
  <si>
    <t>R0182</t>
  </si>
  <si>
    <t>R0183</t>
  </si>
  <si>
    <t>R0184</t>
  </si>
  <si>
    <t>R0185</t>
  </si>
  <si>
    <t>R0186</t>
  </si>
  <si>
    <t>R0187</t>
  </si>
  <si>
    <t>R0188</t>
  </si>
  <si>
    <t>R0189</t>
  </si>
  <si>
    <t>R0190</t>
  </si>
  <si>
    <t>R0191</t>
  </si>
  <si>
    <t>R0192</t>
  </si>
  <si>
    <t>R0193</t>
  </si>
  <si>
    <t>R0194</t>
  </si>
  <si>
    <t>R0195</t>
  </si>
  <si>
    <t>R0196</t>
  </si>
  <si>
    <t>R0197</t>
  </si>
  <si>
    <t>R0198</t>
  </si>
  <si>
    <t>R0199</t>
  </si>
  <si>
    <t>R0200</t>
  </si>
  <si>
    <t>R0201</t>
  </si>
  <si>
    <t>R0202</t>
  </si>
  <si>
    <t>R0203</t>
  </si>
  <si>
    <t>R0204</t>
  </si>
  <si>
    <t>R0205</t>
  </si>
  <si>
    <t>R0206</t>
  </si>
  <si>
    <t>R0207</t>
  </si>
  <si>
    <t>R0208</t>
  </si>
  <si>
    <t>R0209</t>
  </si>
  <si>
    <t>R0210</t>
  </si>
  <si>
    <t>R0211</t>
  </si>
  <si>
    <t>R0212</t>
  </si>
  <si>
    <t>R0213</t>
  </si>
  <si>
    <t>R0214</t>
  </si>
  <si>
    <t>R0215</t>
  </si>
  <si>
    <t>R0216</t>
  </si>
  <si>
    <t>R0217</t>
  </si>
  <si>
    <t>R0218</t>
  </si>
  <si>
    <t>R0219</t>
  </si>
  <si>
    <t>R0220</t>
  </si>
  <si>
    <t>R0221</t>
  </si>
  <si>
    <t>R0222</t>
  </si>
  <si>
    <t>R0223</t>
  </si>
  <si>
    <t>R0224</t>
  </si>
  <si>
    <t>R0225</t>
  </si>
  <si>
    <t>R0226</t>
  </si>
  <si>
    <t>R0227</t>
  </si>
  <si>
    <t>R0228</t>
  </si>
  <si>
    <t>R0229</t>
  </si>
  <si>
    <t>R0230</t>
  </si>
  <si>
    <t>R0231</t>
  </si>
  <si>
    <t>R0232</t>
  </si>
  <si>
    <t>R0233</t>
  </si>
  <si>
    <t>R0234</t>
  </si>
  <si>
    <t>R0235</t>
  </si>
  <si>
    <t>R0236</t>
  </si>
  <si>
    <t>R0237</t>
  </si>
  <si>
    <t>R0238</t>
  </si>
  <si>
    <t>R0239</t>
  </si>
  <si>
    <t>R0240</t>
  </si>
  <si>
    <t>R0241</t>
  </si>
  <si>
    <t>R0242</t>
  </si>
  <si>
    <t>R0243</t>
  </si>
  <si>
    <t>R0244</t>
  </si>
  <si>
    <t>R0245</t>
  </si>
  <si>
    <t>R0246</t>
  </si>
  <si>
    <t>R0247</t>
  </si>
  <si>
    <t>R0248</t>
  </si>
  <si>
    <t>R0249</t>
  </si>
  <si>
    <t>R0250</t>
  </si>
  <si>
    <t>R0251</t>
  </si>
  <si>
    <t>R0252</t>
  </si>
  <si>
    <t>R0253</t>
  </si>
  <si>
    <t>R0254</t>
  </si>
  <si>
    <t>R0255</t>
  </si>
  <si>
    <t>R0256</t>
  </si>
  <si>
    <t>R0257</t>
  </si>
  <si>
    <t>R0258</t>
  </si>
  <si>
    <t>R0259</t>
  </si>
  <si>
    <t>R0260</t>
  </si>
  <si>
    <t>R0261</t>
  </si>
  <si>
    <t>R0262</t>
  </si>
  <si>
    <t>R0263</t>
  </si>
  <si>
    <t>R0264</t>
  </si>
  <si>
    <t>R0265</t>
  </si>
  <si>
    <t>R0266</t>
  </si>
  <si>
    <t>R0267</t>
  </si>
  <si>
    <t>R0268</t>
  </si>
  <si>
    <t>R0269</t>
  </si>
  <si>
    <t>R0270</t>
  </si>
  <si>
    <t>R0271</t>
  </si>
  <si>
    <t>R0272</t>
  </si>
  <si>
    <t>R0273</t>
  </si>
  <si>
    <t>R0274</t>
  </si>
  <si>
    <t>R0275</t>
  </si>
  <si>
    <t>R0276</t>
  </si>
  <si>
    <t>R0277</t>
  </si>
  <si>
    <t>R0278</t>
  </si>
  <si>
    <t>R0279</t>
  </si>
  <si>
    <t>R0280</t>
  </si>
  <si>
    <t>R0281</t>
  </si>
  <si>
    <t>R0282</t>
  </si>
  <si>
    <t>R0283</t>
  </si>
  <si>
    <t>R0284</t>
  </si>
  <si>
    <t>R0285</t>
  </si>
  <si>
    <t>R0286</t>
  </si>
  <si>
    <t>R0287</t>
  </si>
  <si>
    <t>R0288</t>
  </si>
  <si>
    <t>R0289</t>
  </si>
  <si>
    <t>R0290</t>
  </si>
  <si>
    <t>R0291</t>
  </si>
  <si>
    <t>R0292</t>
  </si>
  <si>
    <t>R0293</t>
  </si>
  <si>
    <t>R0294</t>
  </si>
  <si>
    <t>R0295</t>
  </si>
  <si>
    <t>R0296</t>
  </si>
  <si>
    <t>R0297</t>
  </si>
  <si>
    <t>R0298</t>
  </si>
  <si>
    <t>R0299</t>
  </si>
  <si>
    <t>R0300</t>
  </si>
  <si>
    <t>Late</t>
  </si>
  <si>
    <t>Good Performance</t>
  </si>
  <si>
    <t>Average Perfornance</t>
  </si>
  <si>
    <t>Absent</t>
  </si>
  <si>
    <t>Needs Improvement</t>
  </si>
  <si>
    <t>Excellent Performance</t>
  </si>
  <si>
    <t>Topic Master</t>
  </si>
  <si>
    <t>9</t>
  </si>
  <si>
    <t>R0010</t>
  </si>
  <si>
    <t>Study_Sessions</t>
  </si>
  <si>
    <t>Study_Methods</t>
  </si>
  <si>
    <t>YES</t>
  </si>
  <si>
    <t>NO</t>
  </si>
  <si>
    <t>KPI</t>
  </si>
  <si>
    <t>VALUE</t>
  </si>
  <si>
    <t>Total Students</t>
  </si>
  <si>
    <t>Total Study Hours</t>
  </si>
  <si>
    <t>Average Study Hours</t>
  </si>
  <si>
    <t>Average Test Score</t>
  </si>
  <si>
    <t>Average Attendance</t>
  </si>
  <si>
    <t>Average Completion%</t>
  </si>
  <si>
    <t>At-Risk Students</t>
  </si>
  <si>
    <t>Total Subjects</t>
  </si>
  <si>
    <t>Top Student</t>
  </si>
  <si>
    <t>Top Subject</t>
  </si>
  <si>
    <t>Total_Study_Hours</t>
  </si>
  <si>
    <t>Avg_Score</t>
  </si>
  <si>
    <t>Avg_Attendance</t>
  </si>
  <si>
    <t>Assignment_Completion</t>
  </si>
  <si>
    <t>Risk_Status</t>
  </si>
  <si>
    <t>Rank</t>
  </si>
  <si>
    <t>Students_Count</t>
  </si>
  <si>
    <t>Performance_Level</t>
  </si>
  <si>
    <t>Week Number</t>
  </si>
  <si>
    <t>Average Score</t>
  </si>
  <si>
    <t>Assignment Completion</t>
  </si>
  <si>
    <t>Weekly Performance</t>
  </si>
  <si>
    <t>Week_No</t>
  </si>
  <si>
    <t>Attendance Status</t>
  </si>
  <si>
    <t>Count</t>
  </si>
  <si>
    <t>Total</t>
  </si>
  <si>
    <t xml:space="preserve">Overall Attendance </t>
  </si>
  <si>
    <t>Effective Attendance</t>
  </si>
  <si>
    <t>Attendance %</t>
  </si>
  <si>
    <t>Status</t>
  </si>
  <si>
    <t>Attendance</t>
  </si>
  <si>
    <t>Student Count</t>
  </si>
  <si>
    <t>Performance</t>
  </si>
  <si>
    <t>Performance Metric</t>
  </si>
  <si>
    <t>Value</t>
  </si>
  <si>
    <t>Highest Score</t>
  </si>
  <si>
    <t>Lowest Score</t>
  </si>
  <si>
    <t>Pass Count</t>
  </si>
  <si>
    <t>Fail Count</t>
  </si>
  <si>
    <t>Overall Performance Summary</t>
  </si>
  <si>
    <t>Student-Wise Performance</t>
  </si>
  <si>
    <t>Avearge Score</t>
  </si>
  <si>
    <t>Grade-Wise Performance</t>
  </si>
  <si>
    <t>Score Range</t>
  </si>
  <si>
    <t>0-39</t>
  </si>
  <si>
    <t>40-59</t>
  </si>
  <si>
    <t>60-79</t>
  </si>
  <si>
    <t>80-89</t>
  </si>
  <si>
    <t>90-100</t>
  </si>
  <si>
    <t>Score Distribution</t>
  </si>
  <si>
    <t>Row Labels</t>
  </si>
  <si>
    <t>Grand Total</t>
  </si>
  <si>
    <t>Sum of Actual_Study_Hours</t>
  </si>
  <si>
    <t>Average of Test_Score</t>
  </si>
  <si>
    <t>Average of Attendance_Percentage</t>
  </si>
  <si>
    <t>Subject Performance</t>
  </si>
  <si>
    <t>Student Performance</t>
  </si>
  <si>
    <t>Sum of Planned_Hours</t>
  </si>
  <si>
    <t>Count of Student_ID</t>
  </si>
  <si>
    <t>Study Session Analysis</t>
  </si>
  <si>
    <t>Average of Actual_Study_Hours</t>
  </si>
  <si>
    <t>Study Method Analysis</t>
  </si>
  <si>
    <t>Grade/Class Performanace</t>
  </si>
  <si>
    <t>Teacher Performance</t>
  </si>
  <si>
    <t>Assignment Analysis</t>
  </si>
  <si>
    <t>No</t>
  </si>
  <si>
    <t>Difficulty Level Analysis</t>
  </si>
  <si>
    <t>Student Performance &amp; Analytics Reports</t>
  </si>
  <si>
    <t>Select Student</t>
  </si>
  <si>
    <t>Student Report</t>
  </si>
  <si>
    <t>Student Name</t>
  </si>
  <si>
    <t>Average score</t>
  </si>
  <si>
    <t>Study Hours</t>
  </si>
  <si>
    <t>Avg Score</t>
  </si>
  <si>
    <t>Weekly Report</t>
  </si>
  <si>
    <t>Week</t>
  </si>
  <si>
    <t>Completion</t>
  </si>
  <si>
    <t>Attendance Report</t>
  </si>
  <si>
    <t>Student</t>
  </si>
  <si>
    <t>Risk</t>
  </si>
  <si>
    <t>Risk Reason</t>
  </si>
  <si>
    <t>Risk Level</t>
  </si>
  <si>
    <t>Student Details</t>
  </si>
  <si>
    <t>Student Subject Performance</t>
  </si>
  <si>
    <t>Subject Report</t>
  </si>
  <si>
    <t>At Risk Student Report</t>
  </si>
  <si>
    <t>STUDENT PERFORMANCE &amp; STUDY ANALYTICS DASHBOARD</t>
  </si>
  <si>
    <t>TOTAL STUDENTS</t>
  </si>
  <si>
    <t>TOTAL STUDY HOURS</t>
  </si>
  <si>
    <t>AVERAGE SCORE</t>
  </si>
  <si>
    <t>AVERAGE ATTENDANCE</t>
  </si>
  <si>
    <t>ASSIGNMENT COMPLETION</t>
  </si>
  <si>
    <t>Study hours</t>
  </si>
  <si>
    <t>Study  Hours</t>
  </si>
  <si>
    <t>Assignment Status</t>
  </si>
  <si>
    <t>Given</t>
  </si>
  <si>
    <t>Completed</t>
  </si>
  <si>
    <t>Not Completed</t>
  </si>
  <si>
    <t>Percentage</t>
  </si>
  <si>
    <t>Study Session</t>
  </si>
  <si>
    <t xml:space="preserve">Study Method </t>
  </si>
  <si>
    <t>Grade/Class Performance</t>
  </si>
  <si>
    <t>Grade-Class</t>
  </si>
  <si>
    <t>9-A</t>
  </si>
  <si>
    <t>9-B</t>
  </si>
  <si>
    <t>10-A</t>
  </si>
  <si>
    <t>10-B</t>
  </si>
  <si>
    <t>11-A</t>
  </si>
  <si>
    <t>11-B</t>
  </si>
  <si>
    <t>12-A</t>
  </si>
  <si>
    <t>12-B</t>
  </si>
  <si>
    <t>Category</t>
  </si>
  <si>
    <t>Top5</t>
  </si>
  <si>
    <t>Top 5  Students</t>
  </si>
  <si>
    <t>Bottom 5 Students</t>
  </si>
  <si>
    <t>Bottom 5</t>
  </si>
  <si>
    <t xml:space="preserve">Subject </t>
  </si>
  <si>
    <t>Planned Hours</t>
  </si>
  <si>
    <t>Actual Hours</t>
  </si>
  <si>
    <t>Planned vs  Actual Study Hours</t>
  </si>
  <si>
    <t>Attendance Status Doughnut</t>
  </si>
  <si>
    <t>Attendance vs  Score Scatter</t>
  </si>
  <si>
    <t>Test Score</t>
  </si>
  <si>
    <t>Weekly Study Hours</t>
  </si>
  <si>
    <t>Assignment Completion Analysis</t>
  </si>
  <si>
    <t>Attendance Performance By Subject</t>
  </si>
  <si>
    <t>Attendnce %</t>
  </si>
  <si>
    <t>\</t>
  </si>
  <si>
    <t xml:space="preserve"> </t>
  </si>
  <si>
    <t>BACK TO TOP</t>
  </si>
  <si>
    <t xml:space="preserve">                                                                                                                                                                                                                                                                                                                                                                                                                                                                                                                                                                                                                                                                                                                                                                                                                                                                                                                                                                                                                                                                                                                                                                                                                                                                                                                                                                                                                                                                                                                                                                                                                                                                                                                                    </t>
  </si>
  <si>
    <t>Student KPI</t>
  </si>
  <si>
    <t>STUDY HOURS</t>
  </si>
  <si>
    <t>ATTENDANCE</t>
  </si>
  <si>
    <t>Subject KPI</t>
  </si>
  <si>
    <t>Study Hourss</t>
  </si>
  <si>
    <t>Assignment Completion %</t>
  </si>
  <si>
    <t>Week KPI</t>
  </si>
  <si>
    <t>Assignnment Completion %</t>
  </si>
  <si>
    <t>Days</t>
  </si>
  <si>
    <t>Score</t>
  </si>
  <si>
    <t>z</t>
  </si>
  <si>
    <t xml:space="preserve">                                                                STUDENT PERFORMANCE &amp; STUDY ANALYTICS DASHBOARD                                                                                               </t>
  </si>
  <si>
    <t>Last Updated:</t>
  </si>
  <si>
    <t xml:space="preserve">        SELECT WEEK</t>
  </si>
  <si>
    <t xml:space="preserve">   SELECT STUDENT</t>
  </si>
  <si>
    <t>Z</t>
  </si>
  <si>
    <t xml:space="preserve">     SELECT SUBJECT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</si>
</sst>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14009]dd\ mmmm\ yyyy;@"/>
    <numFmt numFmtId="165" formatCode="0.0"/>
    <numFmt numFmtId="166" formatCode="[$-F400]h:mm:ss\ AM/PM"/>
  </numFmts>
  <fonts count="21" x14ac:knownFonts="1">
    <font>
      <sz val="11"/>
      <color theme="1"/>
      <name val="Calibri"/>
      <family val="2"/>
      <scheme val="minor"/>
    </font>
    <font>
      <b/>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4"/>
      <color theme="1"/>
      <name val="Calibri"/>
      <family val="2"/>
      <scheme val="minor"/>
    </font>
    <font>
      <b/>
      <sz val="16"/>
      <color theme="1"/>
      <name val="Calibri"/>
      <family val="2"/>
      <scheme val="minor"/>
    </font>
    <font>
      <b/>
      <sz val="18"/>
      <color theme="1"/>
      <name val="Calibri"/>
      <family val="2"/>
      <scheme val="minor"/>
    </font>
    <font>
      <b/>
      <sz val="12"/>
      <color theme="1"/>
      <name val="Calibri"/>
      <family val="2"/>
      <scheme val="minor"/>
    </font>
    <font>
      <sz val="14"/>
      <color theme="1"/>
      <name val="Calibri"/>
      <family val="2"/>
      <scheme val="minor"/>
    </font>
    <font>
      <b/>
      <sz val="10"/>
      <color theme="1"/>
      <name val="Calibri"/>
      <family val="2"/>
      <scheme val="minor"/>
    </font>
    <font>
      <b/>
      <sz val="18"/>
      <color theme="0"/>
      <name val="Calibri"/>
      <family val="2"/>
      <scheme val="minor"/>
    </font>
    <font>
      <sz val="11"/>
      <color theme="0"/>
      <name val="Calibri"/>
      <family val="2"/>
      <scheme val="minor"/>
    </font>
    <font>
      <b/>
      <sz val="14"/>
      <color theme="0"/>
      <name val="Calibri"/>
      <family val="2"/>
      <scheme val="minor"/>
    </font>
    <font>
      <sz val="36"/>
      <color theme="0"/>
      <name val="Calibri"/>
      <family val="2"/>
      <scheme val="minor"/>
    </font>
    <font>
      <u/>
      <sz val="11"/>
      <color theme="10"/>
      <name val="Calibri"/>
      <family val="2"/>
      <scheme val="minor"/>
    </font>
    <font>
      <b/>
      <sz val="18"/>
      <color rgb="FFFFFFFF"/>
      <name val="Calibri"/>
      <family val="2"/>
      <scheme val="minor"/>
    </font>
    <font>
      <sz val="18"/>
      <color rgb="FFB4B4B4"/>
      <name val="Calibri"/>
      <family val="2"/>
      <scheme val="minor"/>
    </font>
    <font>
      <sz val="11"/>
      <name val="Calibri"/>
      <family val="2"/>
      <scheme val="minor"/>
    </font>
    <font>
      <b/>
      <sz val="16"/>
      <color theme="9"/>
      <name val="Calibri"/>
      <family val="2"/>
      <scheme val="minor"/>
    </font>
    <font>
      <sz val="36"/>
      <color rgb="FF00FF66"/>
      <name val="Calibri"/>
      <family val="2"/>
      <scheme val="minor"/>
    </font>
  </fonts>
  <fills count="12">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bgColor indexed="64"/>
      </patternFill>
    </fill>
    <fill>
      <patternFill patternType="solid">
        <fgColor theme="1"/>
        <bgColor indexed="64"/>
      </patternFill>
    </fill>
    <fill>
      <patternFill patternType="solid">
        <fgColor theme="8" tint="0.59999389629810485"/>
        <bgColor indexed="64"/>
      </patternFill>
    </fill>
    <fill>
      <patternFill patternType="solid">
        <fgColor theme="3"/>
        <bgColor indexed="64"/>
      </patternFill>
    </fill>
    <fill>
      <patternFill patternType="solid">
        <fgColor theme="8" tint="-0.249977111117893"/>
        <bgColor indexed="64"/>
      </patternFill>
    </fill>
    <fill>
      <patternFill patternType="solid">
        <fgColor rgb="FF1E1E2E"/>
        <bgColor indexed="64"/>
      </patternFill>
    </fill>
    <fill>
      <patternFill patternType="solid">
        <fgColor theme="2" tint="-0.749992370372631"/>
        <bgColor indexed="64"/>
      </patternFill>
    </fill>
    <fill>
      <patternFill patternType="solid">
        <fgColor theme="3" tint="-0.249977111117893"/>
        <bgColor indexed="64"/>
      </patternFill>
    </fill>
  </fills>
  <borders count="16">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style="thin">
        <color theme="4" tint="0.39997558519241921"/>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3">
    <xf numFmtId="0" fontId="0" fillId="0" borderId="0"/>
    <xf numFmtId="9" fontId="4" fillId="0" borderId="0" applyFont="0" applyFill="0" applyBorder="0" applyAlignment="0" applyProtection="0"/>
    <xf numFmtId="0" fontId="15" fillId="0" borderId="0" applyNumberFormat="0" applyFill="0" applyBorder="0" applyAlignment="0" applyProtection="0"/>
  </cellStyleXfs>
  <cellXfs count="141">
    <xf numFmtId="0" fontId="0" fillId="0" borderId="0" xfId="0"/>
    <xf numFmtId="0" fontId="0" fillId="0" borderId="0" xfId="0" applyAlignment="1">
      <alignment horizontal="center" vertical="center"/>
    </xf>
    <xf numFmtId="14" fontId="0" fillId="0" borderId="0" xfId="0" applyNumberFormat="1" applyAlignment="1">
      <alignment horizontal="center" vertical="center"/>
    </xf>
    <xf numFmtId="0" fontId="1" fillId="0" borderId="0" xfId="0" applyFont="1"/>
    <xf numFmtId="164" fontId="0" fillId="0" borderId="0" xfId="0" applyNumberFormat="1" applyAlignment="1">
      <alignment horizontal="center" vertical="center"/>
    </xf>
    <xf numFmtId="164" fontId="0" fillId="0" borderId="0" xfId="0" applyNumberFormat="1"/>
    <xf numFmtId="0" fontId="1" fillId="0" borderId="0" xfId="0" applyFont="1" applyAlignment="1">
      <alignment horizontal="center" vertical="center"/>
    </xf>
    <xf numFmtId="0" fontId="0" fillId="0" borderId="0" xfId="0" applyAlignment="1"/>
    <xf numFmtId="0" fontId="1" fillId="0" borderId="0" xfId="0" applyFont="1" applyAlignment="1">
      <alignment vertical="center"/>
    </xf>
    <xf numFmtId="0" fontId="0" fillId="0" borderId="0" xfId="0" applyAlignment="1">
      <alignment horizontal="right"/>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0" xfId="0" applyFont="1" applyFill="1" applyBorder="1" applyAlignment="1">
      <alignment horizontal="center" vertical="center"/>
    </xf>
    <xf numFmtId="0" fontId="0" fillId="3" borderId="4" xfId="0" applyFont="1" applyFill="1" applyBorder="1"/>
    <xf numFmtId="0" fontId="0" fillId="0" borderId="4" xfId="0" applyFont="1" applyBorder="1"/>
    <xf numFmtId="0" fontId="3" fillId="2" borderId="4" xfId="0" applyFont="1" applyFill="1" applyBorder="1"/>
    <xf numFmtId="0" fontId="0" fillId="3" borderId="5" xfId="0" applyFont="1" applyFill="1" applyBorder="1"/>
    <xf numFmtId="0" fontId="0" fillId="0" borderId="5" xfId="0" applyFont="1" applyBorder="1"/>
    <xf numFmtId="0" fontId="3" fillId="2" borderId="0" xfId="0" applyFont="1" applyFill="1" applyBorder="1"/>
    <xf numFmtId="9" fontId="0" fillId="0" borderId="0" xfId="1" applyFont="1"/>
    <xf numFmtId="2" fontId="0" fillId="0" borderId="0" xfId="0" applyNumberFormat="1"/>
    <xf numFmtId="165" fontId="0" fillId="0" borderId="0" xfId="0" applyNumberFormat="1"/>
    <xf numFmtId="0" fontId="0" fillId="0" borderId="0" xfId="0" pivotButton="1"/>
    <xf numFmtId="0" fontId="0" fillId="0" borderId="0" xfId="0" applyAlignment="1">
      <alignment horizontal="left"/>
    </xf>
    <xf numFmtId="0" fontId="0" fillId="0" borderId="0" xfId="0" applyNumberFormat="1"/>
    <xf numFmtId="9" fontId="0" fillId="0" borderId="0" xfId="0" applyNumberFormat="1"/>
    <xf numFmtId="14" fontId="0" fillId="0" borderId="0" xfId="0" applyNumberFormat="1"/>
    <xf numFmtId="0" fontId="0" fillId="0" borderId="0" xfId="0" applyAlignment="1">
      <alignment horizontal="center"/>
    </xf>
    <xf numFmtId="0" fontId="5" fillId="0" borderId="0" xfId="0" applyFont="1" applyAlignment="1">
      <alignment horizontal="center"/>
    </xf>
    <xf numFmtId="2" fontId="0" fillId="0" borderId="0" xfId="0" applyNumberFormat="1" applyAlignment="1">
      <alignment horizontal="center" vertical="center"/>
    </xf>
    <xf numFmtId="9" fontId="0" fillId="0" borderId="0" xfId="1" applyFont="1" applyAlignment="1">
      <alignment horizontal="center" vertical="center"/>
    </xf>
    <xf numFmtId="165" fontId="0" fillId="0" borderId="0" xfId="0" applyNumberFormat="1"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0" fontId="1" fillId="0" borderId="0" xfId="0" applyFont="1" applyAlignment="1">
      <alignment horizontal="center" vertical="center"/>
    </xf>
    <xf numFmtId="9" fontId="0" fillId="0" borderId="0" xfId="1" applyFont="1" applyAlignment="1">
      <alignment horizontal="center" vertical="center"/>
    </xf>
    <xf numFmtId="0" fontId="0" fillId="0" borderId="0" xfId="0" quotePrefix="1"/>
    <xf numFmtId="0" fontId="5" fillId="0" borderId="0" xfId="0" applyFont="1" applyAlignment="1">
      <alignment horizontal="center"/>
    </xf>
    <xf numFmtId="0" fontId="0" fillId="4" borderId="0" xfId="0" applyFill="1"/>
    <xf numFmtId="0" fontId="5" fillId="0" borderId="0" xfId="0" applyFont="1" applyAlignment="1">
      <alignment horizontal="center"/>
    </xf>
    <xf numFmtId="0" fontId="0" fillId="6" borderId="0" xfId="0" applyFill="1" applyAlignment="1">
      <alignment horizontal="center" vertical="center"/>
    </xf>
    <xf numFmtId="2" fontId="0" fillId="6" borderId="0" xfId="0" applyNumberFormat="1" applyFill="1" applyAlignment="1">
      <alignment horizontal="center" vertical="center"/>
    </xf>
    <xf numFmtId="9" fontId="0" fillId="6" borderId="0" xfId="1" applyFont="1" applyFill="1" applyAlignment="1">
      <alignment horizontal="center" vertical="center"/>
    </xf>
    <xf numFmtId="0" fontId="0" fillId="6" borderId="0" xfId="0" applyFill="1"/>
    <xf numFmtId="2" fontId="0" fillId="6" borderId="0" xfId="0" applyNumberFormat="1" applyFill="1"/>
    <xf numFmtId="9" fontId="0" fillId="6" borderId="0" xfId="1" applyFont="1" applyFill="1"/>
    <xf numFmtId="0" fontId="15" fillId="0" borderId="0" xfId="2"/>
    <xf numFmtId="1" fontId="0" fillId="0" borderId="0" xfId="0" applyNumberFormat="1"/>
    <xf numFmtId="1" fontId="0" fillId="4" borderId="0" xfId="0" applyNumberFormat="1" applyFill="1"/>
    <xf numFmtId="0" fontId="1" fillId="0" borderId="0" xfId="0" applyFont="1" applyAlignment="1">
      <alignment horizontal="center" vertical="center"/>
    </xf>
    <xf numFmtId="0" fontId="0" fillId="9" borderId="0" xfId="0" applyFill="1"/>
    <xf numFmtId="0" fontId="9" fillId="9" borderId="0" xfId="0" applyFont="1" applyFill="1"/>
    <xf numFmtId="9" fontId="6" fillId="9" borderId="0" xfId="1" applyFont="1" applyFill="1" applyBorder="1" applyAlignment="1">
      <alignment horizontal="center" vertical="center"/>
    </xf>
    <xf numFmtId="0" fontId="6" fillId="9" borderId="0" xfId="0" applyFont="1" applyFill="1" applyBorder="1" applyAlignment="1">
      <alignment horizontal="center" vertical="center"/>
    </xf>
    <xf numFmtId="0" fontId="1" fillId="9" borderId="0" xfId="0" applyFont="1" applyFill="1" applyAlignment="1">
      <alignment horizontal="center" vertical="center"/>
    </xf>
    <xf numFmtId="0" fontId="0" fillId="9" borderId="0" xfId="0" applyFill="1" applyAlignment="1">
      <alignment horizontal="center" vertical="center"/>
    </xf>
    <xf numFmtId="2" fontId="0" fillId="9" borderId="0" xfId="0" applyNumberFormat="1" applyFill="1" applyAlignment="1">
      <alignment horizontal="center" vertical="center"/>
    </xf>
    <xf numFmtId="9" fontId="0" fillId="9" borderId="0" xfId="1" applyFont="1" applyFill="1" applyAlignment="1">
      <alignment horizontal="center" vertical="center"/>
    </xf>
    <xf numFmtId="165" fontId="0" fillId="9" borderId="0" xfId="0" applyNumberFormat="1" applyFill="1" applyAlignment="1">
      <alignment horizontal="center" vertical="center"/>
    </xf>
    <xf numFmtId="0" fontId="8" fillId="9" borderId="0" xfId="0" applyFont="1" applyFill="1" applyAlignment="1"/>
    <xf numFmtId="9" fontId="0" fillId="4" borderId="0" xfId="0" applyNumberFormat="1" applyFill="1"/>
    <xf numFmtId="0" fontId="1" fillId="4" borderId="0" xfId="0" applyFont="1" applyFill="1" applyAlignment="1">
      <alignment horizontal="center" vertical="center"/>
    </xf>
    <xf numFmtId="0" fontId="0" fillId="4" borderId="0" xfId="0" applyFill="1" applyAlignment="1">
      <alignment horizontal="center" vertical="center"/>
    </xf>
    <xf numFmtId="2" fontId="0" fillId="4" borderId="0" xfId="0" applyNumberFormat="1" applyFill="1" applyAlignment="1">
      <alignment horizontal="center" vertical="center"/>
    </xf>
    <xf numFmtId="165" fontId="0" fillId="4" borderId="0" xfId="0" applyNumberFormat="1" applyFill="1" applyAlignment="1">
      <alignment horizontal="center" vertical="center"/>
    </xf>
    <xf numFmtId="0" fontId="0" fillId="4" borderId="0" xfId="0" applyFill="1" applyBorder="1"/>
    <xf numFmtId="0" fontId="0" fillId="4" borderId="0" xfId="0" applyFill="1" applyAlignment="1">
      <alignment horizontal="center"/>
    </xf>
    <xf numFmtId="165" fontId="0" fillId="4" borderId="0" xfId="0" applyNumberFormat="1" applyFill="1"/>
    <xf numFmtId="9" fontId="0" fillId="4" borderId="0" xfId="1" applyFont="1" applyFill="1"/>
    <xf numFmtId="0" fontId="6" fillId="9" borderId="0" xfId="0" applyFont="1" applyFill="1" applyBorder="1" applyAlignment="1">
      <alignment horizontal="center" vertical="center"/>
    </xf>
    <xf numFmtId="9" fontId="6" fillId="9" borderId="0" xfId="1" applyFont="1" applyFill="1" applyBorder="1" applyAlignment="1">
      <alignment horizontal="center" vertical="center"/>
    </xf>
    <xf numFmtId="0" fontId="12" fillId="9" borderId="0" xfId="0" applyFont="1" applyFill="1" applyBorder="1"/>
    <xf numFmtId="1" fontId="0" fillId="4" borderId="0" xfId="0" applyNumberFormat="1" applyFill="1" applyBorder="1"/>
    <xf numFmtId="0" fontId="11" fillId="4" borderId="0" xfId="0" applyFont="1" applyFill="1" applyBorder="1" applyAlignment="1">
      <alignment vertical="center"/>
    </xf>
    <xf numFmtId="0" fontId="17" fillId="9" borderId="0" xfId="0" applyFont="1" applyFill="1" applyBorder="1" applyAlignment="1">
      <alignment horizontal="center" vertical="center"/>
    </xf>
    <xf numFmtId="0" fontId="14" fillId="4" borderId="0" xfId="0" applyFont="1" applyFill="1" applyAlignment="1"/>
    <xf numFmtId="0" fontId="14" fillId="10" borderId="0" xfId="0" applyFont="1" applyFill="1" applyAlignment="1"/>
    <xf numFmtId="0" fontId="10" fillId="9" borderId="0"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14" xfId="0" applyFont="1" applyFill="1" applyBorder="1" applyAlignment="1">
      <alignment horizontal="center" vertical="center"/>
    </xf>
    <xf numFmtId="0" fontId="0" fillId="9" borderId="0" xfId="0" applyFill="1" applyBorder="1"/>
    <xf numFmtId="0" fontId="10" fillId="9" borderId="8" xfId="0" applyFont="1" applyFill="1" applyBorder="1" applyAlignment="1">
      <alignment horizontal="center" vertical="center"/>
    </xf>
    <xf numFmtId="0" fontId="10" fillId="9" borderId="9" xfId="0" applyFont="1" applyFill="1" applyBorder="1" applyAlignment="1">
      <alignment horizontal="center" vertical="center"/>
    </xf>
    <xf numFmtId="0" fontId="12" fillId="4" borderId="0" xfId="0" applyFont="1" applyFill="1" applyBorder="1"/>
    <xf numFmtId="0" fontId="0" fillId="3" borderId="2" xfId="0" applyFont="1" applyFill="1" applyBorder="1" applyAlignment="1">
      <alignment horizontal="left" wrapText="1"/>
    </xf>
    <xf numFmtId="0" fontId="0" fillId="0" borderId="2" xfId="0" applyFont="1" applyBorder="1" applyAlignment="1">
      <alignment horizontal="left" wrapText="1"/>
    </xf>
    <xf numFmtId="0" fontId="18" fillId="9" borderId="0" xfId="0" applyFont="1" applyFill="1" applyBorder="1"/>
    <xf numFmtId="22" fontId="0" fillId="4" borderId="0" xfId="0" applyNumberFormat="1" applyFill="1"/>
    <xf numFmtId="0" fontId="16" fillId="11" borderId="0" xfId="0" applyFont="1" applyFill="1" applyBorder="1" applyAlignment="1">
      <alignment vertical="center"/>
    </xf>
    <xf numFmtId="0" fontId="6" fillId="9" borderId="0" xfId="0" applyFont="1" applyFill="1" applyBorder="1" applyAlignment="1">
      <alignment horizontal="center" vertical="center"/>
    </xf>
    <xf numFmtId="9" fontId="6" fillId="9" borderId="0" xfId="1" applyFont="1" applyFill="1" applyBorder="1" applyAlignment="1">
      <alignment horizontal="center" vertical="center"/>
    </xf>
    <xf numFmtId="1" fontId="6" fillId="9" borderId="0" xfId="1" applyNumberFormat="1" applyFont="1" applyFill="1" applyBorder="1" applyAlignment="1">
      <alignment horizontal="center" vertical="center"/>
    </xf>
    <xf numFmtId="166" fontId="0" fillId="0" borderId="0" xfId="0" applyNumberFormat="1"/>
    <xf numFmtId="0" fontId="0" fillId="0" borderId="0" xfId="0" applyAlignment="1">
      <alignment horizontal="center"/>
    </xf>
    <xf numFmtId="0" fontId="11" fillId="5" borderId="0" xfId="0" applyFont="1" applyFill="1" applyBorder="1" applyAlignment="1">
      <alignment horizontal="center" vertical="center"/>
    </xf>
    <xf numFmtId="0" fontId="12" fillId="0" borderId="0" xfId="0" applyFont="1" applyBorder="1" applyAlignment="1">
      <alignment horizontal="center"/>
    </xf>
    <xf numFmtId="0" fontId="13" fillId="8" borderId="0" xfId="0" applyFont="1" applyFill="1" applyAlignment="1">
      <alignment horizontal="center"/>
    </xf>
    <xf numFmtId="0" fontId="7" fillId="0" borderId="0" xfId="0" applyFont="1" applyAlignment="1">
      <alignment horizontal="center"/>
    </xf>
    <xf numFmtId="0" fontId="11" fillId="7" borderId="0" xfId="0" applyFont="1" applyFill="1" applyAlignment="1">
      <alignment horizontal="center"/>
    </xf>
    <xf numFmtId="0" fontId="8"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vertical="center"/>
    </xf>
    <xf numFmtId="9" fontId="0" fillId="0" borderId="0" xfId="1" applyFont="1"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0" fontId="8" fillId="4" borderId="0" xfId="0" applyFont="1" applyFill="1" applyAlignment="1">
      <alignment horizontal="center"/>
    </xf>
    <xf numFmtId="0" fontId="8" fillId="9" borderId="0" xfId="0" applyFont="1" applyFill="1" applyAlignment="1">
      <alignment horizontal="center"/>
    </xf>
    <xf numFmtId="0" fontId="1" fillId="4" borderId="0" xfId="0" applyFont="1" applyFill="1" applyAlignment="1">
      <alignment horizontal="center"/>
    </xf>
    <xf numFmtId="0" fontId="20" fillId="10" borderId="0" xfId="0" applyFont="1" applyFill="1" applyAlignment="1">
      <alignment horizontal="center"/>
    </xf>
    <xf numFmtId="0" fontId="19" fillId="9" borderId="0" xfId="0" applyFont="1" applyFill="1" applyAlignment="1">
      <alignment horizontal="left" vertical="center" indent="13"/>
    </xf>
    <xf numFmtId="0" fontId="10" fillId="9" borderId="6" xfId="0" applyFont="1" applyFill="1" applyBorder="1" applyAlignment="1">
      <alignment horizontal="center" vertical="center"/>
    </xf>
    <xf numFmtId="0" fontId="10" fillId="9" borderId="7" xfId="0" applyFont="1" applyFill="1" applyBorder="1" applyAlignment="1">
      <alignment horizontal="center" vertical="center"/>
    </xf>
    <xf numFmtId="0" fontId="10" fillId="9" borderId="13" xfId="0" applyFont="1" applyFill="1" applyBorder="1" applyAlignment="1">
      <alignment horizontal="center" vertical="center"/>
    </xf>
    <xf numFmtId="0" fontId="16" fillId="11" borderId="0" xfId="0" applyFont="1" applyFill="1" applyBorder="1" applyAlignment="1">
      <alignment horizontal="left" vertical="center"/>
    </xf>
    <xf numFmtId="0" fontId="11" fillId="11" borderId="0" xfId="0" applyFont="1" applyFill="1" applyBorder="1" applyAlignment="1">
      <alignment horizontal="left" vertical="center"/>
    </xf>
    <xf numFmtId="0" fontId="10" fillId="9" borderId="0" xfId="0" applyFont="1" applyFill="1" applyBorder="1" applyAlignment="1">
      <alignment horizontal="center" vertical="center"/>
    </xf>
    <xf numFmtId="0" fontId="6" fillId="9" borderId="0" xfId="0" applyFont="1" applyFill="1" applyBorder="1" applyAlignment="1">
      <alignment horizontal="center" vertical="center"/>
    </xf>
    <xf numFmtId="1" fontId="6" fillId="9" borderId="0" xfId="0" applyNumberFormat="1" applyFont="1" applyFill="1" applyBorder="1" applyAlignment="1">
      <alignment horizontal="center" vertical="center"/>
    </xf>
    <xf numFmtId="9" fontId="6" fillId="9" borderId="0" xfId="1" applyFont="1" applyFill="1" applyBorder="1" applyAlignment="1">
      <alignment horizontal="center" vertical="center"/>
    </xf>
    <xf numFmtId="1" fontId="6" fillId="9" borderId="8" xfId="1" applyNumberFormat="1" applyFont="1" applyFill="1" applyBorder="1" applyAlignment="1">
      <alignment horizontal="center" vertical="center"/>
    </xf>
    <xf numFmtId="1" fontId="6" fillId="9" borderId="0" xfId="1" applyNumberFormat="1" applyFont="1" applyFill="1" applyBorder="1" applyAlignment="1">
      <alignment horizontal="center" vertical="center"/>
    </xf>
    <xf numFmtId="1" fontId="6" fillId="9" borderId="10" xfId="1" applyNumberFormat="1" applyFont="1" applyFill="1" applyBorder="1" applyAlignment="1">
      <alignment horizontal="center" vertical="center"/>
    </xf>
    <xf numFmtId="1" fontId="6" fillId="9" borderId="11" xfId="1" applyNumberFormat="1" applyFont="1" applyFill="1" applyBorder="1" applyAlignment="1">
      <alignment horizontal="center" vertical="center"/>
    </xf>
    <xf numFmtId="0" fontId="0" fillId="9" borderId="0" xfId="0" applyFont="1" applyFill="1" applyBorder="1" applyAlignment="1">
      <alignment horizontal="center" vertical="center"/>
    </xf>
    <xf numFmtId="0" fontId="0" fillId="9" borderId="14" xfId="0" applyFont="1" applyFill="1" applyBorder="1" applyAlignment="1">
      <alignment horizontal="center" vertical="center"/>
    </xf>
    <xf numFmtId="9" fontId="6" fillId="9" borderId="8" xfId="1" applyFont="1" applyFill="1" applyBorder="1" applyAlignment="1">
      <alignment horizontal="center" vertical="center"/>
    </xf>
    <xf numFmtId="9" fontId="6" fillId="9" borderId="14" xfId="1" applyFont="1" applyFill="1" applyBorder="1" applyAlignment="1">
      <alignment horizontal="center" vertical="center"/>
    </xf>
    <xf numFmtId="9" fontId="6" fillId="9" borderId="10" xfId="1" applyFont="1" applyFill="1" applyBorder="1" applyAlignment="1">
      <alignment horizontal="center" vertical="center"/>
    </xf>
    <xf numFmtId="9" fontId="6" fillId="9" borderId="11" xfId="1" applyFont="1" applyFill="1" applyBorder="1" applyAlignment="1">
      <alignment horizontal="center" vertical="center"/>
    </xf>
    <xf numFmtId="9" fontId="6" fillId="9" borderId="15" xfId="1" applyFont="1" applyFill="1" applyBorder="1" applyAlignment="1">
      <alignment horizontal="center" vertical="center"/>
    </xf>
    <xf numFmtId="0" fontId="0" fillId="9" borderId="7" xfId="0" applyFont="1" applyFill="1" applyBorder="1" applyAlignment="1">
      <alignment horizontal="center" vertical="center"/>
    </xf>
    <xf numFmtId="0" fontId="6" fillId="9" borderId="8" xfId="0" applyFont="1" applyFill="1" applyBorder="1" applyAlignment="1">
      <alignment horizontal="center" vertical="center"/>
    </xf>
    <xf numFmtId="0" fontId="6" fillId="9" borderId="10" xfId="0" applyFont="1" applyFill="1" applyBorder="1" applyAlignment="1">
      <alignment horizontal="center" vertical="center"/>
    </xf>
    <xf numFmtId="0" fontId="6" fillId="9" borderId="11" xfId="0" applyFont="1" applyFill="1" applyBorder="1" applyAlignment="1">
      <alignment horizontal="center" vertical="center"/>
    </xf>
    <xf numFmtId="0" fontId="16" fillId="11" borderId="0" xfId="0" applyFont="1" applyFill="1" applyBorder="1" applyAlignment="1">
      <alignment horizontal="left" vertical="center" indent="2"/>
    </xf>
    <xf numFmtId="0" fontId="19" fillId="9" borderId="0" xfId="0" applyFont="1" applyFill="1" applyAlignment="1">
      <alignment horizontal="left" vertical="center" indent="10"/>
    </xf>
    <xf numFmtId="0" fontId="19" fillId="9" borderId="0" xfId="0" applyFont="1" applyFill="1" applyAlignment="1">
      <alignment horizontal="left" vertical="center" indent="3"/>
    </xf>
    <xf numFmtId="0" fontId="8" fillId="9" borderId="0" xfId="0" applyFont="1" applyFill="1" applyAlignment="1">
      <alignment horizontal="center" vertical="center"/>
    </xf>
    <xf numFmtId="0" fontId="6" fillId="9" borderId="9" xfId="0" applyFont="1" applyFill="1" applyBorder="1" applyAlignment="1">
      <alignment horizontal="center" vertical="center"/>
    </xf>
    <xf numFmtId="0" fontId="6" fillId="9" borderId="12" xfId="0" applyFont="1" applyFill="1" applyBorder="1" applyAlignment="1">
      <alignment horizontal="center" vertical="center"/>
    </xf>
  </cellXfs>
  <cellStyles count="3">
    <cellStyle name="Hyperlink" xfId="2" builtinId="8"/>
    <cellStyle name="Normal" xfId="0" builtinId="0"/>
    <cellStyle name="Percent" xfId="1" builtinId="5"/>
  </cellStyles>
  <dxfs count="55">
    <dxf>
      <font>
        <b/>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1"/>
        <name val="Calibri"/>
        <family val="2"/>
        <scheme val="minor"/>
      </font>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border outline="0">
        <bottom style="thin">
          <color theme="4" tint="0.39997558519241921"/>
        </bottom>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theme="4" tint="0.39997558519241921"/>
        </left>
        <right style="thin">
          <color theme="4" tint="0.39997558519241921"/>
        </right>
        <top/>
        <bottom/>
      </border>
    </dxf>
    <dxf>
      <alignment horizontal="general" vertical="bottom" textRotation="0" wrapText="0" indent="0" justifyLastLine="0" shrinkToFit="0" readingOrder="0"/>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13" formatCode="0%"/>
    </dxf>
    <dxf>
      <numFmt numFmtId="2" formatCode="0.00"/>
    </dxf>
    <dxf>
      <numFmt numFmtId="2" formatCode="0.00"/>
    </dxf>
    <dxf>
      <alignment horizontal="center"/>
    </dxf>
    <dxf>
      <numFmt numFmtId="13" formatCode="0%"/>
    </dxf>
    <dxf>
      <numFmt numFmtId="2" formatCode="0.00"/>
    </dxf>
    <dxf>
      <numFmt numFmtId="2" formatCode="0.00"/>
    </dxf>
    <dxf>
      <numFmt numFmtId="2" formatCode="0.00"/>
    </dxf>
    <dxf>
      <numFmt numFmtId="13" formatCode="0%"/>
    </dxf>
    <dxf>
      <numFmt numFmtId="2" formatCode="0.00"/>
    </dxf>
    <dxf>
      <numFmt numFmtId="13" formatCode="0%"/>
    </dxf>
    <dxf>
      <numFmt numFmtId="0" formatCode="General"/>
    </dxf>
    <dxf>
      <numFmt numFmtId="0" formatCode="General"/>
    </dxf>
    <dxf>
      <numFmt numFmtId="0" formatCode="General"/>
    </dxf>
    <dxf>
      <numFmt numFmtId="164" formatCode="[$-14009]dd\ mmmm\ yyyy;@"/>
    </dxf>
    <dxf>
      <alignment horizontal="center" vertical="center" textRotation="0" wrapText="0" indent="0" justifyLastLine="0" shrinkToFit="0" readingOrder="0"/>
    </dxf>
    <dxf>
      <fill>
        <patternFill>
          <bgColor theme="8"/>
        </patternFill>
      </fill>
    </dxf>
    <dxf>
      <fill>
        <patternFill>
          <bgColor theme="5" tint="-0.24994659260841701"/>
        </patternFill>
      </fill>
    </dxf>
    <dxf>
      <font>
        <color rgb="FF00B050"/>
      </font>
    </dxf>
    <dxf>
      <fill>
        <patternFill>
          <bgColor rgb="FF92D050"/>
        </patternFill>
      </fill>
    </dxf>
    <dxf>
      <fill>
        <patternFill>
          <bgColor rgb="FFFF0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C7CE"/>
        </patternFill>
      </fill>
    </dxf>
    <dxf>
      <font>
        <color rgb="FF9C5700"/>
      </font>
      <fill>
        <patternFill>
          <bgColor rgb="FFFFEB9C"/>
        </patternFill>
      </fill>
    </dxf>
    <dxf>
      <font>
        <color rgb="FF006100"/>
      </font>
      <fill>
        <patternFill>
          <bgColor rgb="FFC6EFCE"/>
        </patternFill>
      </fill>
    </dxf>
    <dxf>
      <numFmt numFmtId="19" formatCode="dd/mm/yyyy"/>
    </dxf>
    <dxf>
      <fill>
        <patternFill>
          <bgColor rgb="FF080808"/>
        </patternFill>
      </fill>
    </dxf>
    <dxf>
      <fill>
        <gradientFill degree="90">
          <stop position="0">
            <color rgb="FF00FF66"/>
          </stop>
          <stop position="1">
            <color rgb="FF39FF14"/>
          </stop>
        </gradientFill>
      </fill>
    </dxf>
    <dxf>
      <fill>
        <gradientFill degree="90">
          <stop position="0">
            <color theme="4" tint="0.59999389629810485"/>
          </stop>
          <stop position="1">
            <color rgb="FF4472C4"/>
          </stop>
        </gradientFill>
      </fill>
    </dxf>
    <dxf>
      <fill>
        <patternFill patternType="solid">
          <fgColor auto="1"/>
          <bgColor rgb="FF000000"/>
        </patternFill>
      </fill>
    </dxf>
    <dxf>
      <fill>
        <patternFill patternType="solid">
          <fgColor auto="1"/>
          <bgColor rgb="FF0F172A"/>
        </patternFill>
      </fill>
      <border>
        <left style="thick">
          <color rgb="FF0070C0"/>
        </left>
        <right style="thick">
          <color rgb="FF0070C0"/>
        </right>
        <top style="thick">
          <color rgb="FF0070C0"/>
        </top>
        <bottom style="thick">
          <color rgb="FF0070C0"/>
        </bottom>
      </border>
    </dxf>
    <dxf>
      <font>
        <color rgb="FF00FF66"/>
      </font>
    </dxf>
    <dxf>
      <fill>
        <patternFill>
          <bgColor rgb="FF1E293B"/>
        </patternFill>
      </fill>
    </dxf>
    <dxf>
      <fill>
        <patternFill>
          <bgColor rgb="FF292929"/>
        </patternFill>
      </fill>
    </dxf>
    <dxf>
      <fill>
        <patternFill>
          <bgColor rgb="FF00E5FF"/>
        </patternFill>
      </fill>
    </dxf>
  </dxfs>
  <tableStyles count="15" defaultTableStyle="TableStyleMedium2" defaultPivotStyle="PivotStyleLight16">
    <tableStyle name="Slicer Style 1" pivot="0" table="0" count="1" xr9:uid="{BC4C10BD-C395-4D58-B9FE-999265DB5DE7}">
      <tableStyleElement type="wholeTable" dxfId="54"/>
    </tableStyle>
    <tableStyle name="Slicer Style 10" pivot="0" table="0" count="1" xr9:uid="{3DDA165C-8886-446E-8CEA-E1407F48A4A4}"/>
    <tableStyle name="Slicer Style 11" pivot="0" table="0" count="0" xr9:uid="{611CACCE-2C41-44DF-846A-91ABB2543EA5}"/>
    <tableStyle name="Slicer Style 12" pivot="0" table="0" count="5" xr9:uid="{63956472-AC89-4C2F-81A7-25591460AEC0}">
      <tableStyleElement type="wholeTable" dxfId="53"/>
    </tableStyle>
    <tableStyle name="Slicer Style 13" pivot="0" table="0" count="4" xr9:uid="{5B17903E-64B7-4F59-B1AF-419CB1193BEA}">
      <tableStyleElement type="wholeTable" dxfId="52"/>
      <tableStyleElement type="headerRow" dxfId="51"/>
    </tableStyle>
    <tableStyle name="Slicer Style 14" pivot="0" table="0" count="3" xr9:uid="{C18C7B31-B0FD-4A37-BF52-86DEF08A4A23}">
      <tableStyleElement type="wholeTable" dxfId="50"/>
    </tableStyle>
    <tableStyle name="Slicer Style 15" pivot="0" table="0" count="3" xr9:uid="{764E0DF9-4ED7-46E0-89C4-D51C7C6F9F74}">
      <tableStyleElement type="wholeTable" dxfId="49"/>
    </tableStyle>
    <tableStyle name="Slicer Style 2" pivot="0" table="0" count="1" xr9:uid="{27895885-5B90-439A-B7C3-EBB272A94F36}">
      <tableStyleElement type="wholeTable" dxfId="48"/>
    </tableStyle>
    <tableStyle name="Slicer Style 3" pivot="0" table="0" count="1" xr9:uid="{6FDC44EB-6D70-4517-BAF1-8CC9FE37B44F}">
      <tableStyleElement type="wholeTable" dxfId="47"/>
    </tableStyle>
    <tableStyle name="Slicer Style 4" pivot="0" table="0" count="1" xr9:uid="{A3EBCD74-6661-4295-841C-9C6FCB651F79}"/>
    <tableStyle name="Slicer Style 5" pivot="0" table="0" count="1" xr9:uid="{CCF5FFE2-4FE4-48FB-814A-329F80AE8F04}"/>
    <tableStyle name="Slicer Style 6" pivot="0" table="0" count="1" xr9:uid="{D03A3E1B-43DA-40AC-98F4-2FE4344A2B00}"/>
    <tableStyle name="Slicer Style 7" pivot="0" table="0" count="1" xr9:uid="{97B271CE-EC57-4F97-8ED1-811926DC6551}"/>
    <tableStyle name="Slicer Style 8" pivot="0" table="0" count="1" xr9:uid="{712C3E82-29DB-4A71-819D-A496AE572CAC}">
      <tableStyleElement type="wholeTable" dxfId="46"/>
    </tableStyle>
    <tableStyle name="Slicer Style 9" pivot="0" table="0" count="1" xr9:uid="{B9CE29B6-424A-4ABB-B4CA-758AD0AA8D91}"/>
  </tableStyles>
  <colors>
    <mruColors>
      <color rgb="FF00DBFF"/>
      <color rgb="FF00CC66"/>
      <color rgb="FF00FFFF"/>
      <color rgb="FF6D4C72"/>
      <color rgb="FF000000"/>
      <color rgb="FF1820F9"/>
      <color rgb="FFB4C8DC"/>
      <color rgb="FF324155"/>
      <color rgb="FF18202F"/>
      <color rgb="FF00FF66"/>
    </mruColors>
  </colors>
  <extLst>
    <ext xmlns:x14="http://schemas.microsoft.com/office/spreadsheetml/2009/9/main" uri="{46F421CA-312F-682f-3DD2-61675219B42D}">
      <x14:dxfs count="16">
        <dxf>
          <font>
            <b/>
            <i val="0"/>
            <color auto="1"/>
          </font>
          <fill>
            <patternFill>
              <bgColor rgb="FF00E5FF"/>
            </patternFill>
          </fill>
        </dxf>
        <dxf>
          <fill>
            <patternFill>
              <bgColor rgb="FFFF0000"/>
            </patternFill>
          </fill>
        </dxf>
        <dxf>
          <fill>
            <patternFill>
              <bgColor rgb="FF00B0F0"/>
            </patternFill>
          </fill>
        </dxf>
        <dxf>
          <font>
            <b/>
            <i val="0"/>
            <color theme="1"/>
            <name val="Calibri"/>
            <family val="2"/>
            <scheme val="minor"/>
          </font>
          <fill>
            <patternFill>
              <bgColor rgb="FF00E5FF"/>
            </patternFill>
          </fill>
        </dxf>
        <dxf>
          <font>
            <b/>
            <i val="0"/>
            <color theme="1"/>
          </font>
          <fill>
            <patternFill>
              <bgColor rgb="FF39FF14"/>
            </patternFill>
          </fill>
        </dxf>
        <dxf>
          <fill>
            <patternFill>
              <bgColor rgb="FF334155"/>
            </patternFill>
          </fill>
        </dxf>
        <dxf>
          <font>
            <b/>
            <i val="0"/>
            <sz val="12"/>
          </font>
          <fill>
            <patternFill>
              <bgColor rgb="FF10C4D2"/>
            </patternFill>
          </fill>
        </dxf>
        <dxf>
          <fill>
            <patternFill>
              <bgColor rgb="FF00E5FF"/>
            </patternFill>
          </fill>
        </dxf>
        <dxf>
          <fill>
            <patternFill>
              <bgColor rgb="FF1E293B"/>
            </patternFill>
          </fill>
        </dxf>
        <dxf>
          <font>
            <b/>
            <i val="0"/>
          </font>
          <fill>
            <patternFill>
              <bgColor rgb="FF00E5FF"/>
            </patternFill>
          </fill>
        </dxf>
        <dxf>
          <font>
            <color rgb="FF94A3B8"/>
          </font>
          <fill>
            <patternFill>
              <bgColor rgb="FF334155"/>
            </patternFill>
          </fill>
        </dxf>
        <dxf>
          <fill>
            <patternFill>
              <bgColor rgb="FF00B050"/>
            </patternFill>
          </fill>
        </dxf>
        <dxf>
          <font>
            <sz val="16"/>
            <color theme="1"/>
          </font>
          <fill>
            <patternFill>
              <bgColor rgb="FF92D050"/>
            </patternFill>
          </fill>
        </dxf>
        <dxf>
          <font>
            <b val="0"/>
            <i val="0"/>
            <sz val="14"/>
            <name val="Copperplate Gothic Bold"/>
            <family val="2"/>
            <scheme val="none"/>
          </font>
          <fill>
            <patternFill>
              <bgColor rgb="FF00E5FF"/>
            </patternFill>
          </fill>
        </dxf>
        <dxf>
          <font>
            <sz val="14"/>
            <color theme="2"/>
          </font>
          <fill>
            <patternFill>
              <bgColor rgb="FF777777"/>
            </patternFill>
          </fill>
        </dxf>
        <dxf>
          <font>
            <b val="0"/>
            <i val="0"/>
            <color theme="1" tint="0.499984740745262"/>
          </font>
        </dxf>
      </x14:dxfs>
    </ext>
    <ext xmlns:x14="http://schemas.microsoft.com/office/spreadsheetml/2009/9/main" uri="{EB79DEF2-80B8-43e5-95BD-54CBDDF9020C}">
      <x14:slicerStyles defaultSlicerStyle="Slicer Style 11">
        <x14:slicerStyle name="Slicer Style 1"/>
        <x14:slicerStyle name="Slicer Style 10">
          <x14:slicerStyleElements>
            <x14:slicerStyleElement type="unselectedItemWithData" dxfId="15"/>
          </x14:slicerStyleElements>
        </x14:slicerStyle>
        <x14:slicerStyle name="Slicer Style 11"/>
        <x14:slicerStyle name="Slicer Style 12">
          <x14:slicerStyleElements>
            <x14:slicerStyleElement type="unselectedItemWithData" dxfId="14"/>
            <x14:slicerStyleElement type="selectedItemWithData" dxfId="13"/>
            <x14:slicerStyleElement type="hoveredUnselectedItemWithData" dxfId="12"/>
            <x14:slicerStyleElement type="hoveredSelectedItemWithData" dxfId="11"/>
          </x14:slicerStyleElements>
        </x14:slicerStyle>
        <x14:slicerStyle name="Slicer Style 13">
          <x14:slicerStyleElements>
            <x14:slicerStyleElement type="unselectedItemWithData" dxfId="10"/>
            <x14:slicerStyleElement type="selectedItemWithData" dxfId="9"/>
          </x14:slicerStyleElements>
        </x14:slicerStyle>
        <x14:slicerStyle name="Slicer Style 14">
          <x14:slicerStyleElements>
            <x14:slicerStyleElement type="unselectedItemWithData" dxfId="8"/>
            <x14:slicerStyleElement type="selectedItemWithData" dxfId="7"/>
          </x14:slicerStyleElements>
        </x14:slicerStyle>
        <x14:slicerStyle name="Slicer Style 15">
          <x14:slicerStyleElements>
            <x14:slicerStyleElement type="selectedItemWithData" dxfId="6"/>
            <x14:slicerStyleElement type="selectedItemWithNoData" dxfId="5"/>
          </x14:slicerStyleElements>
        </x14:slicerStyle>
        <x14:slicerStyle name="Slicer Style 2"/>
        <x14:slicerStyle name="Slicer Style 3"/>
        <x14:slicerStyle name="Slicer Style 4">
          <x14:slicerStyleElements>
            <x14:slicerStyleElement type="selectedItemWithData" dxfId="4"/>
          </x14:slicerStyleElements>
        </x14:slicerStyle>
        <x14:slicerStyle name="Slicer Style 5">
          <x14:slicerStyleElements>
            <x14:slicerStyleElement type="hoveredUnselectedItemWithData" dxfId="3"/>
          </x14:slicerStyleElements>
        </x14:slicerStyle>
        <x14:slicerStyle name="Slicer Style 6">
          <x14:slicerStyleElements>
            <x14:slicerStyleElement type="hoveredSelectedItemWithData" dxfId="2"/>
          </x14:slicerStyleElements>
        </x14:slicerStyle>
        <x14:slicerStyle name="Slicer Style 7">
          <x14:slicerStyleElements>
            <x14:slicerStyleElement type="hoveredSelectedItemWithData" dxfId="1"/>
          </x14:slicerStyleElements>
        </x14:slicerStyle>
        <x14:slicerStyle name="Slicer Style 8"/>
        <x14:slicerStyle name="Slicer Style 9">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0.27555592869997286"/>
          <c:y val="0.22100153660671693"/>
          <c:w val="0.39335353997808797"/>
          <c:h val="0.65868622139365141"/>
        </c:manualLayout>
      </c:layout>
      <c:doughnutChart>
        <c:varyColors val="1"/>
        <c:ser>
          <c:idx val="1"/>
          <c:order val="1"/>
          <c:tx>
            <c:strRef>
              <c:f>'07_Chart_Data'!$BS$18</c:f>
              <c:strCache>
                <c:ptCount val="1"/>
                <c:pt idx="0">
                  <c:v>Score</c:v>
                </c:pt>
              </c:strCache>
            </c:strRef>
          </c:tx>
          <c:spPr>
            <a:solidFill>
              <a:srgbClr val="00FF66"/>
            </a:solidFill>
            <a:ln>
              <a:noFill/>
            </a:ln>
          </c:spPr>
          <c:dPt>
            <c:idx val="0"/>
            <c:bubble3D val="0"/>
            <c:spPr>
              <a:solidFill>
                <a:srgbClr val="00FF66"/>
              </a:solidFill>
              <a:ln cap="sq">
                <a:noFill/>
                <a:bevel/>
              </a:ln>
              <a:effectLst>
                <a:outerShdw blurRad="266700" dist="228600" dir="18600000" algn="tr" rotWithShape="0">
                  <a:prstClr val="black">
                    <a:alpha val="0"/>
                  </a:prstClr>
                </a:outerShdw>
                <a:softEdge rad="0"/>
              </a:effectLst>
              <a:scene3d>
                <a:camera prst="orthographicFront"/>
                <a:lightRig rig="flood" dir="t"/>
              </a:scene3d>
              <a:sp3d prstMaterial="metal">
                <a:bevelB prst="slope"/>
              </a:sp3d>
            </c:spPr>
            <c:extLst>
              <c:ext xmlns:c16="http://schemas.microsoft.com/office/drawing/2014/chart" uri="{C3380CC4-5D6E-409C-BE32-E72D297353CC}">
                <c16:uniqueId val="{00000007-04CD-4357-A14A-BBF149B06C07}"/>
              </c:ext>
            </c:extLst>
          </c:dPt>
          <c:dPt>
            <c:idx val="1"/>
            <c:bubble3D val="0"/>
            <c:spPr>
              <a:solidFill>
                <a:srgbClr val="00FF66">
                  <a:alpha val="73000"/>
                </a:srgbClr>
              </a:solidFill>
              <a:ln>
                <a:noFill/>
              </a:ln>
              <a:effectLst>
                <a:glow rad="228600">
                  <a:schemeClr val="accent6">
                    <a:satMod val="175000"/>
                    <a:alpha val="40000"/>
                  </a:schemeClr>
                </a:glow>
                <a:innerShdw blurRad="114300">
                  <a:prstClr val="black"/>
                </a:innerShdw>
              </a:effectLst>
            </c:spPr>
            <c:extLst>
              <c:ext xmlns:c16="http://schemas.microsoft.com/office/drawing/2014/chart" uri="{C3380CC4-5D6E-409C-BE32-E72D297353CC}">
                <c16:uniqueId val="{00000009-04CD-4357-A14A-BBF149B06C07}"/>
              </c:ext>
            </c:extLst>
          </c:dPt>
          <c:dPt>
            <c:idx val="2"/>
            <c:bubble3D val="0"/>
            <c:spPr>
              <a:no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04CD-4357-A14A-BBF149B06C07}"/>
              </c:ext>
            </c:extLst>
          </c:dPt>
          <c:val>
            <c:numRef>
              <c:f>'07_Chart_Data'!$BS$19:$BS$21</c:f>
              <c:numCache>
                <c:formatCode>General</c:formatCode>
                <c:ptCount val="3"/>
                <c:pt idx="0">
                  <c:v>50</c:v>
                </c:pt>
                <c:pt idx="1">
                  <c:v>1</c:v>
                </c:pt>
                <c:pt idx="2">
                  <c:v>45</c:v>
                </c:pt>
              </c:numCache>
            </c:numRef>
          </c:val>
          <c:extLst>
            <c:ext xmlns:c16="http://schemas.microsoft.com/office/drawing/2014/chart" uri="{C3380CC4-5D6E-409C-BE32-E72D297353CC}">
              <c16:uniqueId val="{00000006-04CD-4357-A14A-BBF149B06C07}"/>
            </c:ext>
          </c:extLst>
        </c:ser>
        <c:dLbls>
          <c:showLegendKey val="0"/>
          <c:showVal val="0"/>
          <c:showCatName val="0"/>
          <c:showSerName val="0"/>
          <c:showPercent val="0"/>
          <c:showBubbleSize val="0"/>
          <c:showLeaderLines val="1"/>
        </c:dLbls>
        <c:firstSliceAng val="231"/>
        <c:holeSize val="75"/>
        <c:extLst>
          <c:ext xmlns:c15="http://schemas.microsoft.com/office/drawing/2012/chart" uri="{02D57815-91ED-43cb-92C2-25804820EDAC}">
            <c15:filteredPieSeries>
              <c15:ser>
                <c:idx val="0"/>
                <c:order val="0"/>
                <c:tx>
                  <c:strRef>
                    <c:extLst>
                      <c:ext uri="{02D57815-91ED-43cb-92C2-25804820EDAC}">
                        <c15:formulaRef>
                          <c15:sqref>'07_Chart_Data'!$BR$18</c15:sqref>
                        </c15:formulaRef>
                      </c:ext>
                    </c:extLst>
                    <c:strCache>
                      <c:ptCount val="1"/>
                      <c:pt idx="0">
                        <c:v>Days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04CD-4357-A14A-BBF149B06C0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4CD-4357-A14A-BBF149B06C0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4CD-4357-A14A-BBF149B06C07}"/>
                    </c:ext>
                  </c:extLst>
                </c:dPt>
                <c:val>
                  <c:numRef>
                    <c:extLst>
                      <c:ext uri="{02D57815-91ED-43cb-92C2-25804820EDAC}">
                        <c15:formulaRef>
                          <c15:sqref>'07_Chart_Data'!$BR$19:$BR$21</c15:sqref>
                        </c15:formulaRef>
                      </c:ext>
                    </c:extLst>
                    <c:numCache>
                      <c:formatCode>General</c:formatCode>
                      <c:ptCount val="3"/>
                      <c:pt idx="0">
                        <c:v>5</c:v>
                      </c:pt>
                      <c:pt idx="1">
                        <c:v>6</c:v>
                      </c:pt>
                      <c:pt idx="2">
                        <c:v>8</c:v>
                      </c:pt>
                    </c:numCache>
                  </c:numRef>
                </c:val>
                <c:extLst>
                  <c:ext xmlns:c16="http://schemas.microsoft.com/office/drawing/2014/chart" uri="{C3380CC4-5D6E-409C-BE32-E72D297353CC}">
                    <c16:uniqueId val="{00000000-04CD-4357-A14A-BBF149B06C07}"/>
                  </c:ext>
                </c:extLst>
              </c15:ser>
            </c15:filteredPieSeries>
          </c:ext>
        </c:extLst>
      </c:doughnutChart>
      <c:spPr>
        <a:noFill/>
        <a:ln>
          <a:noFill/>
        </a:ln>
        <a:effectLst>
          <a:glow rad="50800">
            <a:srgbClr val="39FF14"/>
          </a:glow>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solidFill>
    <a:ln w="12700" cap="flat" cmpd="sng" algn="ctr">
      <a:solidFill>
        <a:schemeClr val="dk1">
          <a:shade val="50000"/>
        </a:schemeClr>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'07_Chart_Data'!$AJ$2</c:f>
          <c:strCache>
            <c:ptCount val="1"/>
            <c:pt idx="0">
              <c:v> Student - Kavya- Subject Performance</c:v>
            </c:pt>
          </c:strCache>
        </c:strRef>
      </c:tx>
      <c:layout>
        <c:manualLayout>
          <c:xMode val="edge"/>
          <c:yMode val="edge"/>
          <c:x val="0.35294285424111305"/>
          <c:y val="7.1389239213457203E-2"/>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8.309927877071846E-2"/>
          <c:y val="0.33171116193726291"/>
          <c:w val="0.91690076303596968"/>
          <c:h val="0.59704453401397417"/>
        </c:manualLayout>
      </c:layout>
      <c:barChart>
        <c:barDir val="col"/>
        <c:grouping val="clustered"/>
        <c:varyColors val="0"/>
        <c:ser>
          <c:idx val="1"/>
          <c:order val="0"/>
          <c:tx>
            <c:v>Subjects</c:v>
          </c:tx>
          <c:spPr>
            <a:solidFill>
              <a:srgbClr val="00FFFF"/>
            </a:solidFill>
            <a:ln>
              <a:noFill/>
            </a:ln>
            <a:effectLst>
              <a:outerShdw blurRad="57150" dist="19050" dir="5400000" algn="ctr" rotWithShape="0">
                <a:srgbClr val="000000">
                  <a:alpha val="63000"/>
                </a:srgbClr>
              </a:outerShdw>
            </a:effectLst>
          </c:spPr>
          <c:invertIfNegative val="0"/>
          <c:cat>
            <c:strRef>
              <c:f>'07_Chart_Data'!$A$3:$A$8</c:f>
              <c:strCache>
                <c:ptCount val="6"/>
                <c:pt idx="0">
                  <c:v>Mathematics</c:v>
                </c:pt>
                <c:pt idx="1">
                  <c:v>Physics</c:v>
                </c:pt>
                <c:pt idx="2">
                  <c:v>Chemistry</c:v>
                </c:pt>
                <c:pt idx="3">
                  <c:v>English</c:v>
                </c:pt>
                <c:pt idx="4">
                  <c:v>Computer Science</c:v>
                </c:pt>
                <c:pt idx="5">
                  <c:v>Biology</c:v>
                </c:pt>
              </c:strCache>
            </c:strRef>
          </c:cat>
          <c:val>
            <c:numRef>
              <c:f>'07_Chart_Data'!$C$3:$C$8</c:f>
              <c:numCache>
                <c:formatCode>0.00</c:formatCode>
                <c:ptCount val="6"/>
                <c:pt idx="0">
                  <c:v>87.5</c:v>
                </c:pt>
                <c:pt idx="1">
                  <c:v>76.5</c:v>
                </c:pt>
                <c:pt idx="2">
                  <c:v>79</c:v>
                </c:pt>
                <c:pt idx="3">
                  <c:v>79.5</c:v>
                </c:pt>
                <c:pt idx="4">
                  <c:v>81</c:v>
                </c:pt>
                <c:pt idx="5">
                  <c:v>76</c:v>
                </c:pt>
              </c:numCache>
            </c:numRef>
          </c:val>
          <c:extLst>
            <c:ext xmlns:c16="http://schemas.microsoft.com/office/drawing/2014/chart" uri="{C3380CC4-5D6E-409C-BE32-E72D297353CC}">
              <c16:uniqueId val="{00000001-AF12-4D46-8578-605DBF2C065A}"/>
            </c:ext>
          </c:extLst>
        </c:ser>
        <c:dLbls>
          <c:showLegendKey val="0"/>
          <c:showVal val="0"/>
          <c:showCatName val="0"/>
          <c:showSerName val="0"/>
          <c:showPercent val="0"/>
          <c:showBubbleSize val="0"/>
        </c:dLbls>
        <c:gapWidth val="118"/>
        <c:overlap val="-29"/>
        <c:axId val="1507102736"/>
        <c:axId val="1260752240"/>
      </c:barChart>
      <c:catAx>
        <c:axId val="15071027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1" i="0" u="none" strike="noStrike" kern="1200" baseline="0">
                <a:solidFill>
                  <a:srgbClr val="FFFFFF"/>
                </a:solidFill>
                <a:latin typeface="+mn-lt"/>
                <a:ea typeface="+mn-ea"/>
                <a:cs typeface="+mn-cs"/>
              </a:defRPr>
            </a:pPr>
            <a:endParaRPr lang="en-US"/>
          </a:p>
        </c:txPr>
        <c:crossAx val="1260752240"/>
        <c:crosses val="autoZero"/>
        <c:auto val="1"/>
        <c:lblAlgn val="ctr"/>
        <c:lblOffset val="100"/>
        <c:noMultiLvlLbl val="0"/>
      </c:catAx>
      <c:valAx>
        <c:axId val="126075224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07102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9233C">
        <a:alpha val="29804"/>
      </a:srgbClr>
    </a:soli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Weekly Study Hours Trend</a:t>
            </a:r>
          </a:p>
        </c:rich>
      </c:tx>
      <c:overlay val="0"/>
      <c:spPr>
        <a:noFill/>
        <a:ln>
          <a:noFill/>
        </a:ln>
        <a:effectLst/>
      </c:spPr>
      <c:txPr>
        <a:bodyPr rot="0" spcFirstLastPara="1" vertOverflow="ellipsis" vert="horz" wrap="square" anchor="ctr" anchorCtr="1"/>
        <a:lstStyle/>
        <a:p>
          <a:pPr algn="ctr" rtl="0">
            <a:def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6.3443559632193267E-2"/>
          <c:y val="0.14800509720183755"/>
          <c:w val="0.93655642669429406"/>
          <c:h val="0.79013585652463803"/>
        </c:manualLayout>
      </c:layout>
      <c:lineChart>
        <c:grouping val="stacked"/>
        <c:varyColors val="0"/>
        <c:ser>
          <c:idx val="1"/>
          <c:order val="0"/>
          <c:tx>
            <c:strRef>
              <c:f>'07_Chart_Data'!$H$2</c:f>
              <c:strCache>
                <c:ptCount val="1"/>
                <c:pt idx="0">
                  <c:v>Study  Hours</c:v>
                </c:pt>
              </c:strCache>
            </c:strRef>
          </c:tx>
          <c:spPr>
            <a:ln w="34925" cap="rnd">
              <a:solidFill>
                <a:srgbClr val="FFFFFF"/>
              </a:solidFill>
              <a:round/>
            </a:ln>
            <a:effectLst>
              <a:outerShdw blurRad="57150" dist="19050" dir="5400000" algn="ctr" rotWithShape="0">
                <a:srgbClr val="000000">
                  <a:alpha val="63000"/>
                </a:srgbClr>
              </a:outerShdw>
            </a:effectLst>
          </c:spPr>
          <c:marker>
            <c:symbol val="circle"/>
            <c:size val="6"/>
            <c:spPr>
              <a:solidFill>
                <a:srgbClr val="00FF66"/>
              </a:solidFill>
              <a:ln w="9525">
                <a:solidFill>
                  <a:schemeClr val="accent3"/>
                </a:solidFill>
                <a:round/>
              </a:ln>
              <a:effectLst>
                <a:outerShdw blurRad="57150" dist="19050" dir="5400000" algn="ctr" rotWithShape="0">
                  <a:srgbClr val="000000">
                    <a:alpha val="63000"/>
                  </a:srgbClr>
                </a:outerShdw>
              </a:effectLst>
            </c:spPr>
          </c:marker>
          <c:dLbls>
            <c:delete val="1"/>
          </c:dLbls>
          <c:val>
            <c:numRef>
              <c:f>'07_Chart_Data'!$H$3:$H$7</c:f>
              <c:numCache>
                <c:formatCode>0.0</c:formatCode>
                <c:ptCount val="5"/>
                <c:pt idx="0">
                  <c:v>3</c:v>
                </c:pt>
                <c:pt idx="1">
                  <c:v>5.6</c:v>
                </c:pt>
                <c:pt idx="2">
                  <c:v>3.2</c:v>
                </c:pt>
                <c:pt idx="3">
                  <c:v>10.199999999999999</c:v>
                </c:pt>
                <c:pt idx="4">
                  <c:v>12.600000000000001</c:v>
                </c:pt>
              </c:numCache>
            </c:numRef>
          </c:val>
          <c:smooth val="0"/>
          <c:extLst>
            <c:ext xmlns:c16="http://schemas.microsoft.com/office/drawing/2014/chart" uri="{C3380CC4-5D6E-409C-BE32-E72D297353CC}">
              <c16:uniqueId val="{00000001-FD92-4B73-B84D-3913CAE531CD}"/>
            </c:ext>
          </c:extLst>
        </c:ser>
        <c:dLbls>
          <c:dLblPos val="ctr"/>
          <c:showLegendKey val="0"/>
          <c:showVal val="1"/>
          <c:showCatName val="0"/>
          <c:showSerName val="0"/>
          <c:showPercent val="0"/>
          <c:showBubbleSize val="0"/>
        </c:dLbls>
        <c:marker val="1"/>
        <c:smooth val="0"/>
        <c:axId val="1508158112"/>
        <c:axId val="1281329632"/>
      </c:lineChart>
      <c:catAx>
        <c:axId val="1508158112"/>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81329632"/>
        <c:crosses val="autoZero"/>
        <c:auto val="1"/>
        <c:lblAlgn val="ctr"/>
        <c:lblOffset val="100"/>
        <c:noMultiLvlLbl val="0"/>
      </c:catAx>
      <c:valAx>
        <c:axId val="1281329632"/>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08158112"/>
        <c:crosses val="autoZero"/>
        <c:crossBetween val="between"/>
      </c:valAx>
      <c:spPr>
        <a:solidFill>
          <a:srgbClr val="19233C">
            <a:alpha val="29804"/>
          </a:srgbClr>
        </a:solidFill>
        <a:ln>
          <a:solidFill>
            <a:schemeClr val="tx1"/>
          </a:solidFill>
          <a:prstDash val="sysDash"/>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alpha val="29804"/>
      </a:schemeClr>
    </a:solidFill>
    <a:ln>
      <a:noFill/>
    </a:ln>
    <a:effectLst>
      <a:glow rad="12700">
        <a:schemeClr val="accent1">
          <a:alpha val="40000"/>
        </a:schemeClr>
      </a:glow>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IN" sz="1100" b="1" i="0" u="none" strike="noStrike" kern="1200" cap="small" spc="100" baseline="0">
                <a:solidFill>
                  <a:schemeClr val="bg1"/>
                </a:solidFill>
                <a:effectLst>
                  <a:outerShdw blurRad="50800" dist="38100" dir="5400000" algn="t" rotWithShape="0">
                    <a:prstClr val="black">
                      <a:alpha val="40000"/>
                    </a:prstClr>
                  </a:outerShdw>
                </a:effectLst>
                <a:latin typeface="+mn-lt"/>
                <a:ea typeface="+mn-ea"/>
                <a:cs typeface="+mn-cs"/>
              </a:defRPr>
            </a:pPr>
            <a:r>
              <a:rPr lang="en-IN" sz="1100" b="1" i="0" u="none" strike="noStrike" kern="1200" cap="small" spc="100" baseline="0">
                <a:solidFill>
                  <a:schemeClr val="bg1"/>
                </a:solidFill>
                <a:effectLst>
                  <a:outerShdw blurRad="50800" dist="38100" dir="5400000" algn="t" rotWithShape="0">
                    <a:prstClr val="black">
                      <a:alpha val="40000"/>
                    </a:prstClr>
                  </a:outerShdw>
                </a:effectLst>
                <a:latin typeface="+mn-lt"/>
                <a:ea typeface="+mn-ea"/>
                <a:cs typeface="+mn-cs"/>
              </a:rPr>
              <a:t>Attendance  Performance by Subject</a:t>
            </a:r>
          </a:p>
        </c:rich>
      </c:tx>
      <c:layout>
        <c:manualLayout>
          <c:xMode val="edge"/>
          <c:yMode val="edge"/>
          <c:x val="0.30153535255800429"/>
          <c:y val="2.7383857808779277E-2"/>
        </c:manualLayout>
      </c:layout>
      <c:overlay val="0"/>
      <c:spPr>
        <a:noFill/>
        <a:ln>
          <a:noFill/>
        </a:ln>
        <a:effectLst/>
      </c:spPr>
      <c:txPr>
        <a:bodyPr rot="0" spcFirstLastPara="1" vertOverflow="ellipsis" vert="horz" wrap="square" anchor="ctr" anchorCtr="1"/>
        <a:lstStyle/>
        <a:p>
          <a:pPr algn="ctr" rtl="0">
            <a:defRPr lang="en-IN" sz="1100" b="1" i="0" u="none" strike="noStrike" kern="1200" cap="small"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7.1261388010371435E-2"/>
          <c:y val="0.10051638671243185"/>
          <c:w val="0.91021836524727373"/>
          <c:h val="0.83230668477542402"/>
        </c:manualLayout>
      </c:layout>
      <c:barChart>
        <c:barDir val="col"/>
        <c:grouping val="clustered"/>
        <c:varyColors val="0"/>
        <c:ser>
          <c:idx val="0"/>
          <c:order val="0"/>
          <c:spPr>
            <a:solidFill>
              <a:srgbClr val="D500F9"/>
            </a:solidFill>
            <a:ln>
              <a:noFill/>
            </a:ln>
            <a:effectLst>
              <a:outerShdw blurRad="57150" dist="19050" dir="5400000" algn="ctr" rotWithShape="0">
                <a:srgbClr val="000000">
                  <a:alpha val="63000"/>
                </a:srgbClr>
              </a:outerShdw>
            </a:effectLst>
          </c:spPr>
          <c:invertIfNegative val="0"/>
          <c:dLbls>
            <c:delete val="1"/>
          </c:dLbls>
          <c:cat>
            <c:strRef>
              <c:f>'07_Chart_Data'!$A$12:$A$18</c:f>
              <c:strCache>
                <c:ptCount val="7"/>
                <c:pt idx="0">
                  <c:v>Subject</c:v>
                </c:pt>
                <c:pt idx="1">
                  <c:v>Mathematics</c:v>
                </c:pt>
                <c:pt idx="2">
                  <c:v>Physics</c:v>
                </c:pt>
                <c:pt idx="3">
                  <c:v>Chemistry</c:v>
                </c:pt>
                <c:pt idx="4">
                  <c:v>English</c:v>
                </c:pt>
                <c:pt idx="5">
                  <c:v>Computer Science</c:v>
                </c:pt>
                <c:pt idx="6">
                  <c:v>Biology</c:v>
                </c:pt>
              </c:strCache>
            </c:strRef>
          </c:cat>
          <c:val>
            <c:numRef>
              <c:f>'07_Chart_Data'!$B$12:$B$18</c:f>
              <c:numCache>
                <c:formatCode>0%</c:formatCode>
                <c:ptCount val="7"/>
                <c:pt idx="0" formatCode="General">
                  <c:v>0</c:v>
                </c:pt>
                <c:pt idx="1">
                  <c:v>0.92500000000000004</c:v>
                </c:pt>
                <c:pt idx="2">
                  <c:v>0.89</c:v>
                </c:pt>
                <c:pt idx="3">
                  <c:v>0.92666666666666675</c:v>
                </c:pt>
                <c:pt idx="4">
                  <c:v>0.97</c:v>
                </c:pt>
                <c:pt idx="5">
                  <c:v>0.85</c:v>
                </c:pt>
                <c:pt idx="6">
                  <c:v>0.8666666666666667</c:v>
                </c:pt>
              </c:numCache>
            </c:numRef>
          </c:val>
          <c:extLst>
            <c:ext xmlns:c16="http://schemas.microsoft.com/office/drawing/2014/chart" uri="{C3380CC4-5D6E-409C-BE32-E72D297353CC}">
              <c16:uniqueId val="{00000000-C271-46BC-8B44-D20C5DF52A3B}"/>
            </c:ext>
          </c:extLst>
        </c:ser>
        <c:ser>
          <c:idx val="1"/>
          <c:order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'07_Chart_Data'!$A$12:$A$18</c:f>
              <c:strCache>
                <c:ptCount val="7"/>
                <c:pt idx="0">
                  <c:v>Subject</c:v>
                </c:pt>
                <c:pt idx="1">
                  <c:v>Mathematics</c:v>
                </c:pt>
                <c:pt idx="2">
                  <c:v>Physics</c:v>
                </c:pt>
                <c:pt idx="3">
                  <c:v>Chemistry</c:v>
                </c:pt>
                <c:pt idx="4">
                  <c:v>English</c:v>
                </c:pt>
                <c:pt idx="5">
                  <c:v>Computer Science</c:v>
                </c:pt>
                <c:pt idx="6">
                  <c:v>Biology</c:v>
                </c:pt>
              </c:strCache>
            </c:strRef>
          </c:cat>
          <c:val>
            <c:numRef>
              <c:f>'07_Chart_Data'!$C$12:$C$18</c:f>
              <c:numCache>
                <c:formatCode>0%</c:formatCode>
                <c:ptCount val="7"/>
              </c:numCache>
            </c:numRef>
          </c:val>
          <c:extLst>
            <c:ext xmlns:c16="http://schemas.microsoft.com/office/drawing/2014/chart" uri="{C3380CC4-5D6E-409C-BE32-E72D297353CC}">
              <c16:uniqueId val="{00000001-3632-4DEB-9B4E-9DFA504E135D}"/>
            </c:ext>
          </c:extLst>
        </c:ser>
        <c:dLbls>
          <c:dLblPos val="inEnd"/>
          <c:showLegendKey val="0"/>
          <c:showVal val="1"/>
          <c:showCatName val="0"/>
          <c:showSerName val="0"/>
          <c:showPercent val="0"/>
          <c:showBubbleSize val="0"/>
        </c:dLbls>
        <c:gapWidth val="100"/>
        <c:overlap val="-24"/>
        <c:axId val="1507912912"/>
        <c:axId val="1507933296"/>
      </c:barChart>
      <c:catAx>
        <c:axId val="15079129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07933296"/>
        <c:crosses val="autoZero"/>
        <c:auto val="1"/>
        <c:lblAlgn val="ctr"/>
        <c:lblOffset val="100"/>
        <c:noMultiLvlLbl val="0"/>
      </c:catAx>
      <c:valAx>
        <c:axId val="1507933296"/>
        <c:scaling>
          <c:orientation val="minMax"/>
          <c:max val="1"/>
          <c:min val="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07912912"/>
        <c:crosses val="autoZero"/>
        <c:crossBetween val="between"/>
      </c:valAx>
      <c:spPr>
        <a:solidFill>
          <a:srgbClr val="19233C">
            <a:alpha val="30000"/>
          </a:srgb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9223C"/>
    </a:soli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100" b="1" i="0" u="none" strike="noStrike" kern="1200" cap="small" spc="100" baseline="0">
                <a:solidFill>
                  <a:schemeClr val="bg1"/>
                </a:solidFill>
                <a:effectLst>
                  <a:outerShdw blurRad="50800" dist="38100" dir="5400000" algn="t" rotWithShape="0">
                    <a:prstClr val="black">
                      <a:alpha val="40000"/>
                    </a:prstClr>
                  </a:outerShdw>
                </a:effectLst>
                <a:latin typeface="+mn-lt"/>
                <a:ea typeface="+mn-ea"/>
                <a:cs typeface="+mn-cs"/>
              </a:defRPr>
            </a:pPr>
            <a:r>
              <a:rPr lang="en-US" sz="1100" b="1" i="0" u="none" strike="noStrike" kern="1200" cap="small" spc="100" baseline="0">
                <a:solidFill>
                  <a:schemeClr val="bg1"/>
                </a:solidFill>
                <a:effectLst>
                  <a:outerShdw blurRad="50800" dist="38100" dir="5400000" algn="t" rotWithShape="0">
                    <a:prstClr val="black">
                      <a:alpha val="40000"/>
                    </a:prstClr>
                  </a:outerShdw>
                </a:effectLst>
                <a:latin typeface="+mn-lt"/>
                <a:ea typeface="+mn-ea"/>
                <a:cs typeface="+mn-cs"/>
              </a:rPr>
              <a:t>Assignment Completion Analysis</a:t>
            </a:r>
          </a:p>
        </c:rich>
      </c:tx>
      <c:overlay val="0"/>
      <c:spPr>
        <a:noFill/>
        <a:ln>
          <a:noFill/>
        </a:ln>
        <a:effectLst/>
      </c:spPr>
      <c:txPr>
        <a:bodyPr rot="0" spcFirstLastPara="1" vertOverflow="ellipsis" vert="horz" wrap="square" anchor="ctr" anchorCtr="1"/>
        <a:lstStyle/>
        <a:p>
          <a:pPr algn="ctr" rtl="0">
            <a:defRPr lang="en-US" sz="1100" b="1" i="0" u="none" strike="noStrike" kern="1200" cap="small"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7.7287072336052712E-2"/>
          <c:y val="8.5078603883178047E-2"/>
          <c:w val="0.92155816831289694"/>
          <c:h val="0.79412661416893404"/>
        </c:manualLayout>
      </c:layout>
      <c:barChart>
        <c:barDir val="col"/>
        <c:grouping val="clustered"/>
        <c:varyColors val="0"/>
        <c:ser>
          <c:idx val="0"/>
          <c:order val="0"/>
          <c:tx>
            <c:strRef>
              <c:f>'07_Chart_Data'!$G$12</c:f>
              <c:strCache>
                <c:ptCount val="1"/>
                <c:pt idx="0">
                  <c:v>Count</c:v>
                </c:pt>
              </c:strCache>
            </c:strRef>
          </c:tx>
          <c:spPr>
            <a:solidFill>
              <a:srgbClr val="00E5FF"/>
            </a:solidFill>
            <a:ln>
              <a:noFill/>
            </a:ln>
            <a:effectLst>
              <a:outerShdw blurRad="57150" dist="19050" dir="5400000" algn="ctr" rotWithShape="0">
                <a:srgbClr val="000000">
                  <a:alpha val="63000"/>
                </a:srgbClr>
              </a:outerShdw>
            </a:effectLst>
          </c:spPr>
          <c:invertIfNegative val="0"/>
          <c:cat>
            <c:strRef>
              <c:f>'07_Chart_Data'!$F$13:$F$15</c:f>
              <c:strCache>
                <c:ptCount val="3"/>
                <c:pt idx="0">
                  <c:v>Given</c:v>
                </c:pt>
                <c:pt idx="1">
                  <c:v>Completed</c:v>
                </c:pt>
                <c:pt idx="2">
                  <c:v>Not Completed</c:v>
                </c:pt>
              </c:strCache>
            </c:strRef>
          </c:cat>
          <c:val>
            <c:numRef>
              <c:f>'07_Chart_Data'!$G$13:$G$15</c:f>
              <c:numCache>
                <c:formatCode>General</c:formatCode>
                <c:ptCount val="3"/>
                <c:pt idx="0">
                  <c:v>16</c:v>
                </c:pt>
                <c:pt idx="1">
                  <c:v>16</c:v>
                </c:pt>
                <c:pt idx="2">
                  <c:v>16</c:v>
                </c:pt>
              </c:numCache>
            </c:numRef>
          </c:val>
          <c:extLst>
            <c:ext xmlns:c16="http://schemas.microsoft.com/office/drawing/2014/chart" uri="{C3380CC4-5D6E-409C-BE32-E72D297353CC}">
              <c16:uniqueId val="{00000000-6D1C-45E2-BEB8-66C1D5437EE4}"/>
            </c:ext>
          </c:extLst>
        </c:ser>
        <c:ser>
          <c:idx val="1"/>
          <c:order val="1"/>
          <c:tx>
            <c:strRef>
              <c:f>'07_Chart_Data'!$H$12</c:f>
              <c:strCache>
                <c:ptCount val="1"/>
                <c:pt idx="0">
                  <c:v>Percentage</c:v>
                </c:pt>
              </c:strCache>
            </c:strRef>
          </c:tx>
          <c:spPr>
            <a:solidFill>
              <a:srgbClr val="FFD700"/>
            </a:solidFill>
            <a:ln>
              <a:noFill/>
            </a:ln>
            <a:effectLst>
              <a:outerShdw blurRad="57150" dist="19050" dir="5400000" algn="ctr" rotWithShape="0">
                <a:srgbClr val="000000">
                  <a:alpha val="63000"/>
                </a:srgbClr>
              </a:outerShdw>
            </a:effectLst>
          </c:spPr>
          <c:invertIfNegative val="0"/>
          <c:cat>
            <c:strRef>
              <c:f>'07_Chart_Data'!$F$13:$F$15</c:f>
              <c:strCache>
                <c:ptCount val="3"/>
                <c:pt idx="0">
                  <c:v>Given</c:v>
                </c:pt>
                <c:pt idx="1">
                  <c:v>Completed</c:v>
                </c:pt>
                <c:pt idx="2">
                  <c:v>Not Completed</c:v>
                </c:pt>
              </c:strCache>
            </c:strRef>
          </c:cat>
          <c:val>
            <c:numRef>
              <c:f>'07_Chart_Data'!$H$13:$H$15</c:f>
              <c:numCache>
                <c:formatCode>0%</c:formatCode>
                <c:ptCount val="3"/>
                <c:pt idx="0">
                  <c:v>1</c:v>
                </c:pt>
                <c:pt idx="1">
                  <c:v>1</c:v>
                </c:pt>
                <c:pt idx="2">
                  <c:v>1</c:v>
                </c:pt>
              </c:numCache>
            </c:numRef>
          </c:val>
          <c:extLst>
            <c:ext xmlns:c16="http://schemas.microsoft.com/office/drawing/2014/chart" uri="{C3380CC4-5D6E-409C-BE32-E72D297353CC}">
              <c16:uniqueId val="{00000001-6D1C-45E2-BEB8-66C1D5437EE4}"/>
            </c:ext>
          </c:extLst>
        </c:ser>
        <c:dLbls>
          <c:showLegendKey val="0"/>
          <c:showVal val="0"/>
          <c:showCatName val="0"/>
          <c:showSerName val="0"/>
          <c:showPercent val="0"/>
          <c:showBubbleSize val="0"/>
        </c:dLbls>
        <c:gapWidth val="100"/>
        <c:overlap val="-24"/>
        <c:axId val="1123352672"/>
        <c:axId val="1123356832"/>
      </c:barChart>
      <c:catAx>
        <c:axId val="11233526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3356832"/>
        <c:crosses val="autoZero"/>
        <c:auto val="1"/>
        <c:lblAlgn val="ctr"/>
        <c:lblOffset val="100"/>
        <c:noMultiLvlLbl val="0"/>
      </c:catAx>
      <c:valAx>
        <c:axId val="112335683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3352672"/>
        <c:crosses val="autoZero"/>
        <c:crossBetween val="between"/>
      </c:valAx>
      <c:spPr>
        <a:solidFill>
          <a:srgbClr val="19233C">
            <a:alpha val="7843"/>
          </a:srgb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9233C">
        <a:alpha val="29804"/>
      </a:srgbClr>
    </a:soli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100" b="1" i="0" u="none" strike="noStrike" kern="1200" cap="small" spc="100" baseline="0">
                <a:solidFill>
                  <a:schemeClr val="bg1"/>
                </a:solidFill>
                <a:effectLst>
                  <a:outerShdw blurRad="50800" dist="38100" dir="5400000" algn="t" rotWithShape="0">
                    <a:prstClr val="black">
                      <a:alpha val="40000"/>
                    </a:prstClr>
                  </a:outerShdw>
                </a:effectLst>
                <a:latin typeface="+mn-lt"/>
                <a:ea typeface="+mn-ea"/>
                <a:cs typeface="+mn-cs"/>
              </a:defRPr>
            </a:pPr>
            <a:r>
              <a:rPr lang="en-US" sz="1100" b="1" i="0" u="none" strike="noStrike" kern="1200" cap="small" spc="100" baseline="0">
                <a:solidFill>
                  <a:schemeClr val="bg1"/>
                </a:solidFill>
                <a:effectLst>
                  <a:outerShdw blurRad="50800" dist="38100" dir="5400000" algn="t" rotWithShape="0">
                    <a:prstClr val="black">
                      <a:alpha val="40000"/>
                    </a:prstClr>
                  </a:outerShdw>
                </a:effectLst>
                <a:latin typeface="+mn-lt"/>
                <a:ea typeface="+mn-ea"/>
                <a:cs typeface="+mn-cs"/>
              </a:rPr>
              <a:t>Study Session Analysis</a:t>
            </a:r>
          </a:p>
        </c:rich>
      </c:tx>
      <c:layout>
        <c:manualLayout>
          <c:xMode val="edge"/>
          <c:yMode val="edge"/>
          <c:x val="0.34412455261274161"/>
          <c:y val="3.4155047210451359E-2"/>
        </c:manualLayout>
      </c:layout>
      <c:overlay val="0"/>
      <c:spPr>
        <a:noFill/>
        <a:ln>
          <a:noFill/>
        </a:ln>
        <a:effectLst/>
      </c:spPr>
      <c:txPr>
        <a:bodyPr rot="0" spcFirstLastPara="1" vertOverflow="ellipsis" vert="horz" wrap="square" anchor="ctr" anchorCtr="1"/>
        <a:lstStyle/>
        <a:p>
          <a:pPr algn="ctr" rtl="0">
            <a:defRPr lang="en-US" sz="1100" b="1" i="0" u="none" strike="noStrike" kern="1200" cap="small"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8.145524423176792E-2"/>
          <c:y val="0.17741836873530073"/>
          <c:w val="0.88303826523301832"/>
          <c:h val="0.61579526760424008"/>
        </c:manualLayout>
      </c:layout>
      <c:barChart>
        <c:barDir val="col"/>
        <c:grouping val="clustered"/>
        <c:varyColors val="0"/>
        <c:ser>
          <c:idx val="0"/>
          <c:order val="0"/>
          <c:tx>
            <c:strRef>
              <c:f>'07_Chart_Data'!$B$22</c:f>
              <c:strCache>
                <c:ptCount val="1"/>
                <c:pt idx="0">
                  <c:v>Study hours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'07_Chart_Data'!$A$23:$A$26</c:f>
              <c:strCache>
                <c:ptCount val="4"/>
                <c:pt idx="0">
                  <c:v>Morning</c:v>
                </c:pt>
                <c:pt idx="1">
                  <c:v>Afternoon</c:v>
                </c:pt>
                <c:pt idx="2">
                  <c:v>Evening</c:v>
                </c:pt>
                <c:pt idx="3">
                  <c:v>Night</c:v>
                </c:pt>
              </c:strCache>
            </c:strRef>
          </c:cat>
          <c:val>
            <c:numRef>
              <c:f>'07_Chart_Data'!$B$23:$B$26</c:f>
              <c:numCache>
                <c:formatCode>0.0</c:formatCode>
                <c:ptCount val="4"/>
                <c:pt idx="0">
                  <c:v>7.5</c:v>
                </c:pt>
                <c:pt idx="1">
                  <c:v>14.000000000000002</c:v>
                </c:pt>
                <c:pt idx="2">
                  <c:v>10.100000000000001</c:v>
                </c:pt>
                <c:pt idx="3">
                  <c:v>3</c:v>
                </c:pt>
              </c:numCache>
            </c:numRef>
          </c:val>
          <c:extLst>
            <c:ext xmlns:c16="http://schemas.microsoft.com/office/drawing/2014/chart" uri="{C3380CC4-5D6E-409C-BE32-E72D297353CC}">
              <c16:uniqueId val="{00000000-4F2B-492A-9F63-611D8E93D6BD}"/>
            </c:ext>
          </c:extLst>
        </c:ser>
        <c:ser>
          <c:idx val="1"/>
          <c:order val="1"/>
          <c:tx>
            <c:strRef>
              <c:f>'07_Chart_Data'!$C$22</c:f>
              <c:strCache>
                <c:ptCount val="1"/>
                <c:pt idx="0">
                  <c:v>Avg Score</c:v>
                </c:pt>
              </c:strCache>
            </c:strRef>
          </c:tx>
          <c:spPr>
            <a:solidFill>
              <a:srgbClr val="FF00FF"/>
            </a:solidFill>
            <a:ln>
              <a:noFill/>
            </a:ln>
            <a:effectLst>
              <a:outerShdw blurRad="57150" dist="19050" dir="5400000" algn="ctr" rotWithShape="0">
                <a:srgbClr val="000000">
                  <a:alpha val="63000"/>
                </a:srgbClr>
              </a:outerShdw>
            </a:effectLst>
          </c:spPr>
          <c:invertIfNegative val="0"/>
          <c:cat>
            <c:strRef>
              <c:f>'07_Chart_Data'!$A$23:$A$26</c:f>
              <c:strCache>
                <c:ptCount val="4"/>
                <c:pt idx="0">
                  <c:v>Morning</c:v>
                </c:pt>
                <c:pt idx="1">
                  <c:v>Afternoon</c:v>
                </c:pt>
                <c:pt idx="2">
                  <c:v>Evening</c:v>
                </c:pt>
                <c:pt idx="3">
                  <c:v>Night</c:v>
                </c:pt>
              </c:strCache>
            </c:strRef>
          </c:cat>
          <c:val>
            <c:numRef>
              <c:f>'07_Chart_Data'!$C$23:$C$26</c:f>
              <c:numCache>
                <c:formatCode>0.00</c:formatCode>
                <c:ptCount val="4"/>
                <c:pt idx="0">
                  <c:v>79.75</c:v>
                </c:pt>
                <c:pt idx="1">
                  <c:v>82.5</c:v>
                </c:pt>
                <c:pt idx="2">
                  <c:v>81</c:v>
                </c:pt>
                <c:pt idx="3">
                  <c:v>74</c:v>
                </c:pt>
              </c:numCache>
            </c:numRef>
          </c:val>
          <c:extLst>
            <c:ext xmlns:c16="http://schemas.microsoft.com/office/drawing/2014/chart" uri="{C3380CC4-5D6E-409C-BE32-E72D297353CC}">
              <c16:uniqueId val="{00000001-4F2B-492A-9F63-611D8E93D6BD}"/>
            </c:ext>
          </c:extLst>
        </c:ser>
        <c:dLbls>
          <c:showLegendKey val="0"/>
          <c:showVal val="0"/>
          <c:showCatName val="0"/>
          <c:showSerName val="0"/>
          <c:showPercent val="0"/>
          <c:showBubbleSize val="0"/>
        </c:dLbls>
        <c:gapWidth val="100"/>
        <c:overlap val="-24"/>
        <c:axId val="1297614992"/>
        <c:axId val="1297615408"/>
      </c:barChart>
      <c:catAx>
        <c:axId val="12976149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97615408"/>
        <c:crosses val="autoZero"/>
        <c:auto val="1"/>
        <c:lblAlgn val="ctr"/>
        <c:lblOffset val="100"/>
        <c:noMultiLvlLbl val="0"/>
      </c:catAx>
      <c:valAx>
        <c:axId val="1297615408"/>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97614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9233C">
        <a:alpha val="30196"/>
      </a:srgbClr>
    </a:soli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100" b="1" i="0" u="none" strike="noStrike" kern="1200" cap="small" spc="100" baseline="0">
                <a:solidFill>
                  <a:schemeClr val="bg1"/>
                </a:solidFill>
                <a:effectLst>
                  <a:outerShdw blurRad="50800" dist="38100" dir="5400000" algn="t" rotWithShape="0">
                    <a:prstClr val="black">
                      <a:alpha val="40000"/>
                    </a:prstClr>
                  </a:outerShdw>
                </a:effectLst>
                <a:latin typeface="+mn-lt"/>
                <a:ea typeface="+mn-ea"/>
                <a:cs typeface="+mn-cs"/>
              </a:defRPr>
            </a:pPr>
            <a:r>
              <a:rPr lang="en-US" sz="1100"/>
              <a:t>Study Method Analysis</a:t>
            </a:r>
          </a:p>
        </c:rich>
      </c:tx>
      <c:overlay val="0"/>
      <c:spPr>
        <a:noFill/>
        <a:ln>
          <a:noFill/>
        </a:ln>
        <a:effectLst/>
      </c:spPr>
      <c:txPr>
        <a:bodyPr rot="0" spcFirstLastPara="1" vertOverflow="ellipsis" vert="horz" wrap="square" anchor="ctr" anchorCtr="1"/>
        <a:lstStyle/>
        <a:p>
          <a:pPr algn="ctr" rtl="0">
            <a:defRPr lang="en-US" sz="1100" b="1" i="0" u="none" strike="noStrike" kern="1200" cap="small"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'07_Chart_Data'!$G$22</c:f>
              <c:strCache>
                <c:ptCount val="1"/>
                <c:pt idx="0">
                  <c:v>Study Hours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'07_Chart_Data'!$F$23:$F$28</c:f>
              <c:strCache>
                <c:ptCount val="6"/>
                <c:pt idx="0">
                  <c:v>Self Study</c:v>
                </c:pt>
                <c:pt idx="1">
                  <c:v>Online Class</c:v>
                </c:pt>
                <c:pt idx="2">
                  <c:v>Group Study</c:v>
                </c:pt>
                <c:pt idx="3">
                  <c:v>Vedio Learning</c:v>
                </c:pt>
                <c:pt idx="4">
                  <c:v>Practice</c:v>
                </c:pt>
                <c:pt idx="5">
                  <c:v>Revision</c:v>
                </c:pt>
              </c:strCache>
            </c:strRef>
          </c:cat>
          <c:val>
            <c:numRef>
              <c:f>'07_Chart_Data'!$G$23:$G$28</c:f>
              <c:numCache>
                <c:formatCode>General</c:formatCode>
                <c:ptCount val="6"/>
                <c:pt idx="0">
                  <c:v>4.0999999999999996</c:v>
                </c:pt>
                <c:pt idx="1">
                  <c:v>8</c:v>
                </c:pt>
                <c:pt idx="2">
                  <c:v>8.1</c:v>
                </c:pt>
                <c:pt idx="3">
                  <c:v>4.9000000000000004</c:v>
                </c:pt>
                <c:pt idx="4">
                  <c:v>7.3</c:v>
                </c:pt>
                <c:pt idx="5">
                  <c:v>2.2000000000000002</c:v>
                </c:pt>
              </c:numCache>
            </c:numRef>
          </c:val>
          <c:extLst>
            <c:ext xmlns:c16="http://schemas.microsoft.com/office/drawing/2014/chart" uri="{C3380CC4-5D6E-409C-BE32-E72D297353CC}">
              <c16:uniqueId val="{00000000-0D6B-4BA4-AD73-900FF0C99C4C}"/>
            </c:ext>
          </c:extLst>
        </c:ser>
        <c:ser>
          <c:idx val="1"/>
          <c:order val="1"/>
          <c:tx>
            <c:strRef>
              <c:f>'07_Chart_Data'!$H$22</c:f>
              <c:strCache>
                <c:ptCount val="1"/>
                <c:pt idx="0">
                  <c:v>Avg Score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'07_Chart_Data'!$F$23:$F$28</c:f>
              <c:strCache>
                <c:ptCount val="6"/>
                <c:pt idx="0">
                  <c:v>Self Study</c:v>
                </c:pt>
                <c:pt idx="1">
                  <c:v>Online Class</c:v>
                </c:pt>
                <c:pt idx="2">
                  <c:v>Group Study</c:v>
                </c:pt>
                <c:pt idx="3">
                  <c:v>Vedio Learning</c:v>
                </c:pt>
                <c:pt idx="4">
                  <c:v>Practice</c:v>
                </c:pt>
                <c:pt idx="5">
                  <c:v>Revision</c:v>
                </c:pt>
              </c:strCache>
            </c:strRef>
          </c:cat>
          <c:val>
            <c:numRef>
              <c:f>'07_Chart_Data'!$H$23:$H$28</c:f>
              <c:numCache>
                <c:formatCode>0.00</c:formatCode>
                <c:ptCount val="6"/>
                <c:pt idx="0">
                  <c:v>1.3666666666666665</c:v>
                </c:pt>
                <c:pt idx="1">
                  <c:v>2</c:v>
                </c:pt>
                <c:pt idx="2">
                  <c:v>2.6999999999999997</c:v>
                </c:pt>
                <c:pt idx="3">
                  <c:v>2.4500000000000002</c:v>
                </c:pt>
                <c:pt idx="4">
                  <c:v>1.825</c:v>
                </c:pt>
                <c:pt idx="5">
                  <c:v>2.2000000000000002</c:v>
                </c:pt>
              </c:numCache>
            </c:numRef>
          </c:val>
          <c:extLst>
            <c:ext xmlns:c16="http://schemas.microsoft.com/office/drawing/2014/chart" uri="{C3380CC4-5D6E-409C-BE32-E72D297353CC}">
              <c16:uniqueId val="{00000001-0D6B-4BA4-AD73-900FF0C99C4C}"/>
            </c:ext>
          </c:extLst>
        </c:ser>
        <c:dLbls>
          <c:showLegendKey val="0"/>
          <c:showVal val="0"/>
          <c:showCatName val="0"/>
          <c:showSerName val="0"/>
          <c:showPercent val="0"/>
          <c:showBubbleSize val="0"/>
        </c:dLbls>
        <c:gapWidth val="115"/>
        <c:overlap val="-20"/>
        <c:axId val="1297616240"/>
        <c:axId val="1297623728"/>
      </c:barChart>
      <c:catAx>
        <c:axId val="129761624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lang="en-US" sz="1100" b="1" i="0" u="none" strike="noStrike" kern="1200" cap="small"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crossAx val="1297623728"/>
        <c:crosses val="autoZero"/>
        <c:auto val="1"/>
        <c:lblAlgn val="ctr"/>
        <c:lblOffset val="100"/>
        <c:noMultiLvlLbl val="0"/>
      </c:catAx>
      <c:valAx>
        <c:axId val="129762372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100" b="1" i="0" u="none" strike="noStrike" kern="1200" cap="small"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crossAx val="1297616240"/>
        <c:crosses val="autoZero"/>
        <c:crossBetween val="between"/>
      </c:valAx>
      <c:spPr>
        <a:solidFill>
          <a:srgbClr val="19233C">
            <a:alpha val="30196"/>
          </a:srgb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E222D"/>
    </a:solidFill>
    <a:ln>
      <a:noFill/>
    </a:ln>
    <a:effectLst/>
  </c:spPr>
  <c:txPr>
    <a:bodyPr/>
    <a:lstStyle/>
    <a:p>
      <a:pPr algn="ctr" rtl="0">
        <a:defRPr lang="en-US" sz="1100" b="1" i="0" u="none" strike="noStrike" kern="1200" cap="small"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r>
              <a: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rPr>
              <a:t>Grade/Class Performance</a:t>
            </a:r>
          </a:p>
        </c:rich>
      </c:tx>
      <c:overlay val="0"/>
      <c:spPr>
        <a:noFill/>
        <a:ln>
          <a:noFill/>
        </a:ln>
        <a:effectLst/>
      </c:spPr>
      <c:txPr>
        <a:bodyPr rot="0" spcFirstLastPara="1" vertOverflow="ellipsis" vert="horz" wrap="square" anchor="ctr" anchorCtr="1"/>
        <a:lstStyle/>
        <a:p>
          <a:pPr algn="ctr" rtl="0">
            <a:def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9.8427055278220946E-2"/>
          <c:y val="0.11971441553924853"/>
          <c:w val="0.90157296420749955"/>
          <c:h val="0.7834890007195372"/>
        </c:manualLayout>
      </c:layout>
      <c:barChart>
        <c:barDir val="col"/>
        <c:grouping val="clustered"/>
        <c:varyColors val="0"/>
        <c:ser>
          <c:idx val="0"/>
          <c:order val="0"/>
          <c:tx>
            <c:strRef>
              <c:f>'07_Chart_Data'!$B$33</c:f>
              <c:strCache>
                <c:ptCount val="1"/>
                <c:pt idx="0">
                  <c:v>Avg Score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'07_Chart_Data'!$A$34:$A$41</c:f>
              <c:strCache>
                <c:ptCount val="8"/>
                <c:pt idx="0">
                  <c:v>9-A</c:v>
                </c:pt>
                <c:pt idx="1">
                  <c:v>9-B</c:v>
                </c:pt>
                <c:pt idx="2">
                  <c:v>10-A</c:v>
                </c:pt>
                <c:pt idx="3">
                  <c:v>10-B</c:v>
                </c:pt>
                <c:pt idx="4">
                  <c:v>11-A</c:v>
                </c:pt>
                <c:pt idx="5">
                  <c:v>11-B</c:v>
                </c:pt>
                <c:pt idx="6">
                  <c:v>12-A</c:v>
                </c:pt>
                <c:pt idx="7">
                  <c:v>12-B</c:v>
                </c:pt>
              </c:strCache>
            </c:strRef>
          </c:cat>
          <c:val>
            <c:numRef>
              <c:f>'07_Chart_Data'!$B$34:$B$41</c:f>
              <c:numCache>
                <c:formatCode>0.00</c:formatCode>
                <c:ptCount val="8"/>
                <c:pt idx="0">
                  <c:v>83.117647058823536</c:v>
                </c:pt>
                <c:pt idx="1">
                  <c:v>77.045454545454547</c:v>
                </c:pt>
                <c:pt idx="2">
                  <c:v>81.870370370370367</c:v>
                </c:pt>
                <c:pt idx="3">
                  <c:v>81.791666666666671</c:v>
                </c:pt>
                <c:pt idx="4">
                  <c:v>79.551020408163268</c:v>
                </c:pt>
                <c:pt idx="5">
                  <c:v>79.400000000000006</c:v>
                </c:pt>
                <c:pt idx="6">
                  <c:v>80.84615384615384</c:v>
                </c:pt>
                <c:pt idx="7">
                  <c:v>81.578947368421055</c:v>
                </c:pt>
              </c:numCache>
            </c:numRef>
          </c:val>
          <c:extLst>
            <c:ext xmlns:c16="http://schemas.microsoft.com/office/drawing/2014/chart" uri="{C3380CC4-5D6E-409C-BE32-E72D297353CC}">
              <c16:uniqueId val="{00000000-EFD2-4415-8693-D6F2006E1B70}"/>
            </c:ext>
          </c:extLst>
        </c:ser>
        <c:ser>
          <c:idx val="1"/>
          <c:order val="1"/>
          <c:tx>
            <c:strRef>
              <c:f>'07_Chart_Data'!$C$33</c:f>
              <c:strCache>
                <c:ptCount val="1"/>
                <c:pt idx="0">
                  <c:v>Attendance %</c:v>
                </c:pt>
              </c:strCache>
            </c:strRef>
          </c:tx>
          <c:spPr>
            <a:solidFill>
              <a:srgbClr val="FB923C"/>
            </a:solidFill>
            <a:ln>
              <a:noFill/>
            </a:ln>
            <a:effectLst>
              <a:outerShdw blurRad="57150" dist="19050" dir="5400000" algn="ctr" rotWithShape="0">
                <a:srgbClr val="000000">
                  <a:alpha val="63000"/>
                </a:srgbClr>
              </a:outerShdw>
            </a:effectLst>
          </c:spPr>
          <c:invertIfNegative val="0"/>
          <c:cat>
            <c:strRef>
              <c:f>'07_Chart_Data'!$A$34:$A$41</c:f>
              <c:strCache>
                <c:ptCount val="8"/>
                <c:pt idx="0">
                  <c:v>9-A</c:v>
                </c:pt>
                <c:pt idx="1">
                  <c:v>9-B</c:v>
                </c:pt>
                <c:pt idx="2">
                  <c:v>10-A</c:v>
                </c:pt>
                <c:pt idx="3">
                  <c:v>10-B</c:v>
                </c:pt>
                <c:pt idx="4">
                  <c:v>11-A</c:v>
                </c:pt>
                <c:pt idx="5">
                  <c:v>11-B</c:v>
                </c:pt>
                <c:pt idx="6">
                  <c:v>12-A</c:v>
                </c:pt>
                <c:pt idx="7">
                  <c:v>12-B</c:v>
                </c:pt>
              </c:strCache>
            </c:strRef>
          </c:cat>
          <c:val>
            <c:numRef>
              <c:f>'07_Chart_Data'!$C$34:$C$41</c:f>
              <c:numCache>
                <c:formatCode>0%</c:formatCode>
                <c:ptCount val="8"/>
                <c:pt idx="0">
                  <c:v>0.87705882352941189</c:v>
                </c:pt>
                <c:pt idx="1">
                  <c:v>0.89500000000000024</c:v>
                </c:pt>
                <c:pt idx="2">
                  <c:v>0.88555555555555554</c:v>
                </c:pt>
                <c:pt idx="3">
                  <c:v>0.88166666666666682</c:v>
                </c:pt>
                <c:pt idx="4">
                  <c:v>0.91020408163265265</c:v>
                </c:pt>
                <c:pt idx="5">
                  <c:v>0.93577777777777804</c:v>
                </c:pt>
                <c:pt idx="6">
                  <c:v>0.89846153846153842</c:v>
                </c:pt>
                <c:pt idx="7">
                  <c:v>0.86421052631578954</c:v>
                </c:pt>
              </c:numCache>
            </c:numRef>
          </c:val>
          <c:extLst>
            <c:ext xmlns:c16="http://schemas.microsoft.com/office/drawing/2014/chart" uri="{C3380CC4-5D6E-409C-BE32-E72D297353CC}">
              <c16:uniqueId val="{00000001-EFD2-4415-8693-D6F2006E1B70}"/>
            </c:ext>
          </c:extLst>
        </c:ser>
        <c:dLbls>
          <c:showLegendKey val="0"/>
          <c:showVal val="0"/>
          <c:showCatName val="0"/>
          <c:showSerName val="0"/>
          <c:showPercent val="0"/>
          <c:showBubbleSize val="0"/>
        </c:dLbls>
        <c:gapWidth val="100"/>
        <c:overlap val="-24"/>
        <c:axId val="536558815"/>
        <c:axId val="536555071"/>
      </c:barChart>
      <c:catAx>
        <c:axId val="53655881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6555071"/>
        <c:crosses val="autoZero"/>
        <c:auto val="1"/>
        <c:lblAlgn val="ctr"/>
        <c:lblOffset val="100"/>
        <c:noMultiLvlLbl val="0"/>
      </c:catAx>
      <c:valAx>
        <c:axId val="536555071"/>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6558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E222D"/>
    </a:solidFill>
    <a:ln>
      <a:noFill/>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0"/>
          <a:lstStyle/>
          <a:p>
            <a:pPr algn="ctr" rtl="0">
              <a:def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r>
              <a: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rPr>
              <a:t>Top  5  Students</a:t>
            </a:r>
          </a:p>
        </c:rich>
      </c:tx>
      <c:layout>
        <c:manualLayout>
          <c:xMode val="edge"/>
          <c:yMode val="edge"/>
          <c:x val="0.47076556801639535"/>
          <c:y val="2.8278187631066952E-2"/>
        </c:manualLayout>
      </c:layout>
      <c:overlay val="0"/>
      <c:spPr>
        <a:noFill/>
        <a:ln>
          <a:noFill/>
        </a:ln>
        <a:effectLst/>
      </c:spPr>
      <c:txPr>
        <a:bodyPr rot="0" spcFirstLastPara="1" vertOverflow="ellipsis" vert="horz" wrap="square" anchor="ctr" anchorCtr="0"/>
        <a:lstStyle/>
        <a:p>
          <a:pPr algn="ctr" rtl="0">
            <a:def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0.13066007506048113"/>
          <c:y val="0.1036825980424845"/>
          <c:w val="0.83296976181558802"/>
          <c:h val="0.8337094088885475"/>
        </c:manualLayout>
      </c:layout>
      <c:barChart>
        <c:barDir val="bar"/>
        <c:grouping val="clustered"/>
        <c:varyColors val="0"/>
        <c:ser>
          <c:idx val="0"/>
          <c:order val="0"/>
          <c:tx>
            <c:strRef>
              <c:f>'07_Chart_Data'!$G$33</c:f>
              <c:strCache>
                <c:ptCount val="1"/>
                <c:pt idx="0">
                  <c:v>Avg Score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4"/>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0">
                <a:solidFill>
                  <a:schemeClr val="accent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BD9-4DF2-9EA7-1845B7D85119}"/>
              </c:ext>
            </c:extLst>
          </c:dPt>
          <c:cat>
            <c:strRef>
              <c:f>'07_Chart_Data'!$F$34:$F$38</c:f>
              <c:strCache>
                <c:ptCount val="5"/>
                <c:pt idx="0">
                  <c:v>Naveen</c:v>
                </c:pt>
                <c:pt idx="1">
                  <c:v>Rohit</c:v>
                </c:pt>
                <c:pt idx="2">
                  <c:v>Akhil</c:v>
                </c:pt>
                <c:pt idx="3">
                  <c:v>Priya</c:v>
                </c:pt>
                <c:pt idx="4">
                  <c:v>Vikaram</c:v>
                </c:pt>
              </c:strCache>
            </c:strRef>
          </c:cat>
          <c:val>
            <c:numRef>
              <c:f>'07_Chart_Data'!$G$34:$G$38</c:f>
              <c:numCache>
                <c:formatCode>0.00</c:formatCode>
                <c:ptCount val="5"/>
                <c:pt idx="0">
                  <c:v>83.777777777777771</c:v>
                </c:pt>
                <c:pt idx="1">
                  <c:v>83.266666666666666</c:v>
                </c:pt>
                <c:pt idx="2">
                  <c:v>83</c:v>
                </c:pt>
                <c:pt idx="3">
                  <c:v>82.6875</c:v>
                </c:pt>
                <c:pt idx="4">
                  <c:v>81.791666666666671</c:v>
                </c:pt>
              </c:numCache>
            </c:numRef>
          </c:val>
          <c:extLst>
            <c:ext xmlns:c16="http://schemas.microsoft.com/office/drawing/2014/chart" uri="{C3380CC4-5D6E-409C-BE32-E72D297353CC}">
              <c16:uniqueId val="{00000000-38F3-45A1-842B-9939459321A3}"/>
            </c:ext>
          </c:extLst>
        </c:ser>
        <c:dLbls>
          <c:showLegendKey val="0"/>
          <c:showVal val="0"/>
          <c:showCatName val="0"/>
          <c:showSerName val="0"/>
          <c:showPercent val="0"/>
          <c:showBubbleSize val="0"/>
        </c:dLbls>
        <c:gapWidth val="115"/>
        <c:overlap val="-21"/>
        <c:axId val="404656848"/>
        <c:axId val="404658928"/>
      </c:barChart>
      <c:catAx>
        <c:axId val="40465684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4658928"/>
        <c:crosses val="autoZero"/>
        <c:auto val="1"/>
        <c:lblAlgn val="ctr"/>
        <c:lblOffset val="100"/>
        <c:noMultiLvlLbl val="0"/>
      </c:catAx>
      <c:valAx>
        <c:axId val="404658928"/>
        <c:scaling>
          <c:orientation val="minMax"/>
        </c:scaling>
        <c:delete val="1"/>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404656848"/>
        <c:crosses val="autoZero"/>
        <c:crossBetween val="between"/>
      </c:valAx>
      <c:spPr>
        <a:noFill/>
        <a:ln>
          <a:noFill/>
        </a:ln>
        <a:effectLst/>
      </c:spPr>
    </c:plotArea>
    <c:plotVisOnly val="1"/>
    <c:dispBlanksAs val="gap"/>
    <c:showDLblsOverMax val="0"/>
  </c:chart>
  <c:spPr>
    <a:solidFill>
      <a:srgbClr val="19233C">
        <a:alpha val="30196"/>
      </a:srgbClr>
    </a:soli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Planned vs  Actual Study Hours</a:t>
            </a:r>
          </a:p>
        </c:rich>
      </c:tx>
      <c:layout>
        <c:manualLayout>
          <c:xMode val="edge"/>
          <c:yMode val="edge"/>
          <c:x val="0.37205194647995193"/>
          <c:y val="6.162120534939483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7.306199405824769E-2"/>
          <c:y val="0.18325823084137138"/>
          <c:w val="0.86891888754858826"/>
          <c:h val="0.70862047252126936"/>
        </c:manualLayout>
      </c:layout>
      <c:barChart>
        <c:barDir val="col"/>
        <c:grouping val="clustered"/>
        <c:varyColors val="0"/>
        <c:ser>
          <c:idx val="0"/>
          <c:order val="0"/>
          <c:tx>
            <c:strRef>
              <c:f>'07_Chart_Data'!$F$46</c:f>
              <c:strCache>
                <c:ptCount val="1"/>
                <c:pt idx="0">
                  <c:v>Subject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val>
            <c:numRef>
              <c:f>'07_Chart_Data'!$F$47:$F$53</c:f>
              <c:numCache>
                <c:formatCode>General</c:formatCode>
                <c:ptCount val="7"/>
                <c:pt idx="0">
                  <c:v>0</c:v>
                </c:pt>
                <c:pt idx="1">
                  <c:v>0</c:v>
                </c:pt>
                <c:pt idx="2">
                  <c:v>0</c:v>
                </c:pt>
                <c:pt idx="3">
                  <c:v>0</c:v>
                </c:pt>
                <c:pt idx="4">
                  <c:v>0</c:v>
                </c:pt>
                <c:pt idx="5">
                  <c:v>0</c:v>
                </c:pt>
              </c:numCache>
            </c:numRef>
          </c:val>
          <c:extLst>
            <c:ext xmlns:c16="http://schemas.microsoft.com/office/drawing/2014/chart" uri="{C3380CC4-5D6E-409C-BE32-E72D297353CC}">
              <c16:uniqueId val="{00000000-01E4-47BD-8670-CBDDD7473E81}"/>
            </c:ext>
          </c:extLst>
        </c:ser>
        <c:ser>
          <c:idx val="1"/>
          <c:order val="1"/>
          <c:tx>
            <c:strRef>
              <c:f>'07_Chart_Data'!$G$46</c:f>
              <c:strCache>
                <c:ptCount val="1"/>
                <c:pt idx="0">
                  <c:v>Planned Hours</c:v>
                </c:pt>
              </c:strCache>
            </c:strRef>
          </c:tx>
          <c:spPr>
            <a:solidFill>
              <a:srgbClr val="1820F9"/>
            </a:solidFill>
            <a:ln>
              <a:noFill/>
            </a:ln>
            <a:effectLst/>
          </c:spPr>
          <c:invertIfNegative val="0"/>
          <c:dLbls>
            <c:delete val="1"/>
          </c:dLbls>
          <c:val>
            <c:numRef>
              <c:f>'07_Chart_Data'!$G$47:$G$53</c:f>
              <c:numCache>
                <c:formatCode>General</c:formatCode>
                <c:ptCount val="7"/>
                <c:pt idx="0">
                  <c:v>7</c:v>
                </c:pt>
                <c:pt idx="1">
                  <c:v>5</c:v>
                </c:pt>
                <c:pt idx="2">
                  <c:v>7</c:v>
                </c:pt>
                <c:pt idx="3">
                  <c:v>9</c:v>
                </c:pt>
                <c:pt idx="4">
                  <c:v>3</c:v>
                </c:pt>
                <c:pt idx="5">
                  <c:v>12</c:v>
                </c:pt>
              </c:numCache>
            </c:numRef>
          </c:val>
          <c:extLst>
            <c:ext xmlns:c16="http://schemas.microsoft.com/office/drawing/2014/chart" uri="{C3380CC4-5D6E-409C-BE32-E72D297353CC}">
              <c16:uniqueId val="{00000001-01E4-47BD-8670-CBDDD7473E81}"/>
            </c:ext>
          </c:extLst>
        </c:ser>
        <c:ser>
          <c:idx val="2"/>
          <c:order val="2"/>
          <c:tx>
            <c:strRef>
              <c:f>'07_Chart_Data'!$H$46</c:f>
              <c:strCache>
                <c:ptCount val="1"/>
                <c:pt idx="0">
                  <c:v>Actual Hours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val>
            <c:numRef>
              <c:f>'07_Chart_Data'!$H$47:$H$53</c:f>
              <c:numCache>
                <c:formatCode>General</c:formatCode>
                <c:ptCount val="7"/>
                <c:pt idx="0">
                  <c:v>6.4</c:v>
                </c:pt>
                <c:pt idx="1">
                  <c:v>4</c:v>
                </c:pt>
                <c:pt idx="2">
                  <c:v>5.4</c:v>
                </c:pt>
                <c:pt idx="3">
                  <c:v>7.2</c:v>
                </c:pt>
                <c:pt idx="4">
                  <c:v>2.1</c:v>
                </c:pt>
                <c:pt idx="5">
                  <c:v>9.5</c:v>
                </c:pt>
              </c:numCache>
            </c:numRef>
          </c:val>
          <c:extLst>
            <c:ext xmlns:c16="http://schemas.microsoft.com/office/drawing/2014/chart" uri="{C3380CC4-5D6E-409C-BE32-E72D297353CC}">
              <c16:uniqueId val="{00000001-740F-4B46-B382-5D325A9632A0}"/>
            </c:ext>
          </c:extLst>
        </c:ser>
        <c:dLbls>
          <c:dLblPos val="inEnd"/>
          <c:showLegendKey val="0"/>
          <c:showVal val="1"/>
          <c:showCatName val="0"/>
          <c:showSerName val="0"/>
          <c:showPercent val="0"/>
          <c:showBubbleSize val="0"/>
        </c:dLbls>
        <c:gapWidth val="100"/>
        <c:overlap val="-24"/>
        <c:axId val="404210608"/>
        <c:axId val="404211856"/>
      </c:barChart>
      <c:catAx>
        <c:axId val="4042106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4211856"/>
        <c:crosses val="autoZero"/>
        <c:auto val="1"/>
        <c:lblAlgn val="ctr"/>
        <c:lblOffset val="100"/>
        <c:noMultiLvlLbl val="0"/>
      </c:catAx>
      <c:valAx>
        <c:axId val="40421185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4210608"/>
        <c:crosses val="autoZero"/>
        <c:crossBetween val="between"/>
      </c:valAx>
      <c:spPr>
        <a:noFill/>
        <a:ln cap="flat">
          <a:solidFill>
            <a:schemeClr val="accent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9233C">
        <a:alpha val="30196"/>
      </a:srgbClr>
    </a:solidFill>
    <a:ln>
      <a:noFill/>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1"/>
          <a:lstStyle/>
          <a:p>
            <a:pPr algn="ctr" rtl="0">
              <a:def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r>
              <a: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rPr>
              <a:t>Bottom 5  Students</a:t>
            </a:r>
          </a:p>
        </c:rich>
      </c:tx>
      <c:layout>
        <c:manualLayout>
          <c:xMode val="edge"/>
          <c:yMode val="edge"/>
          <c:x val="0.40167191021002679"/>
          <c:y val="2.032520325203252E-2"/>
        </c:manualLayout>
      </c:layout>
      <c:overlay val="0"/>
      <c:spPr>
        <a:noFill/>
        <a:ln>
          <a:noFill/>
        </a:ln>
        <a:effectLst/>
      </c:spPr>
      <c:txPr>
        <a:bodyPr rot="0" spcFirstLastPara="1" vertOverflow="ellipsis" vert="horz" wrap="square" anchor="t" anchorCtr="1"/>
        <a:lstStyle/>
        <a:p>
          <a:pPr algn="ctr" rtl="0">
            <a:def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0.12983123920422426"/>
          <c:y val="9.7609521370804253E-2"/>
          <c:w val="0.83641485649753744"/>
          <c:h val="0.81974635713639243"/>
        </c:manualLayout>
      </c:layout>
      <c:barChart>
        <c:barDir val="bar"/>
        <c:grouping val="clustered"/>
        <c:varyColors val="0"/>
        <c:ser>
          <c:idx val="0"/>
          <c:order val="0"/>
          <c:tx>
            <c:strRef>
              <c:f>'07_Chart_Data'!$B$46</c:f>
              <c:strCache>
                <c:ptCount val="1"/>
                <c:pt idx="0">
                  <c:v>Avg Score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'07_Chart_Data'!$A$47:$A$51</c:f>
              <c:strCache>
                <c:ptCount val="5"/>
                <c:pt idx="0">
                  <c:v>Sneha</c:v>
                </c:pt>
                <c:pt idx="1">
                  <c:v>Sai</c:v>
                </c:pt>
                <c:pt idx="2">
                  <c:v>Arjun</c:v>
                </c:pt>
                <c:pt idx="3">
                  <c:v>Anjali</c:v>
                </c:pt>
                <c:pt idx="4">
                  <c:v>Rahul</c:v>
                </c:pt>
              </c:strCache>
            </c:strRef>
          </c:cat>
          <c:val>
            <c:numRef>
              <c:f>'07_Chart_Data'!$B$47:$B$51</c:f>
              <c:numCache>
                <c:formatCode>0.00</c:formatCode>
                <c:ptCount val="5"/>
                <c:pt idx="0">
                  <c:v>75.928571428571431</c:v>
                </c:pt>
                <c:pt idx="1">
                  <c:v>77.045454545454547</c:v>
                </c:pt>
                <c:pt idx="2">
                  <c:v>77.63636363636364</c:v>
                </c:pt>
                <c:pt idx="3">
                  <c:v>79.09375</c:v>
                </c:pt>
                <c:pt idx="4">
                  <c:v>79.5</c:v>
                </c:pt>
              </c:numCache>
            </c:numRef>
          </c:val>
          <c:extLst>
            <c:ext xmlns:c16="http://schemas.microsoft.com/office/drawing/2014/chart" uri="{C3380CC4-5D6E-409C-BE32-E72D297353CC}">
              <c16:uniqueId val="{00000000-60D0-4721-AE60-00EA2CF5C265}"/>
            </c:ext>
          </c:extLst>
        </c:ser>
        <c:dLbls>
          <c:showLegendKey val="0"/>
          <c:showVal val="0"/>
          <c:showCatName val="0"/>
          <c:showSerName val="0"/>
          <c:showPercent val="0"/>
          <c:showBubbleSize val="0"/>
        </c:dLbls>
        <c:gapWidth val="115"/>
        <c:overlap val="-20"/>
        <c:axId val="375076768"/>
        <c:axId val="375075520"/>
      </c:barChart>
      <c:catAx>
        <c:axId val="37507676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5075520"/>
        <c:crosses val="autoZero"/>
        <c:auto val="1"/>
        <c:lblAlgn val="ctr"/>
        <c:lblOffset val="100"/>
        <c:noMultiLvlLbl val="0"/>
      </c:catAx>
      <c:valAx>
        <c:axId val="375075520"/>
        <c:scaling>
          <c:orientation val="minMax"/>
        </c:scaling>
        <c:delete val="1"/>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375076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9233C">
        <a:alpha val="30196"/>
      </a:srgbClr>
    </a:soli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r>
              <a: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rPr>
              <a:t>Score Distribution</a:t>
            </a:r>
          </a:p>
        </c:rich>
      </c:tx>
      <c:overlay val="0"/>
      <c:spPr>
        <a:noFill/>
        <a:ln>
          <a:noFill/>
        </a:ln>
        <a:effectLst/>
      </c:spPr>
      <c:txPr>
        <a:bodyPr rot="0" spcFirstLastPara="1" vertOverflow="ellipsis" vert="horz" wrap="square" anchor="ctr" anchorCtr="1"/>
        <a:lstStyle/>
        <a:p>
          <a:pPr algn="ctr" rtl="0">
            <a:def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2.2277572446301356E-2"/>
          <c:y val="8.2316272965879275E-2"/>
          <c:w val="0.95298525995938821"/>
          <c:h val="0.8022038460743588"/>
        </c:manualLayout>
      </c:layout>
      <c:barChart>
        <c:barDir val="col"/>
        <c:grouping val="clustered"/>
        <c:varyColors val="0"/>
        <c:ser>
          <c:idx val="0"/>
          <c:order val="0"/>
          <c:tx>
            <c:strRef>
              <c:f>'07_Chart_Data'!$B$57</c:f>
              <c:strCache>
                <c:ptCount val="1"/>
                <c:pt idx="0">
                  <c:v>Count</c:v>
                </c:pt>
              </c:strCache>
            </c:strRef>
          </c:tx>
          <c:spPr>
            <a:solidFill>
              <a:srgbClr val="22D3EE"/>
            </a:solidFill>
            <a:ln w="9525" cap="flat" cmpd="sng" algn="ctr">
              <a:solidFill>
                <a:schemeClr val="accent5"/>
              </a:solidFill>
              <a:miter lim="800000"/>
            </a:ln>
            <a:effectLst>
              <a:glow rad="63500">
                <a:schemeClr val="accent1">
                  <a:satMod val="175000"/>
                  <a:alpha val="25000"/>
                </a:schemeClr>
              </a:glow>
            </a:effectLst>
          </c:spPr>
          <c:invertIfNegative val="0"/>
          <c:dLbls>
            <c:delete val="1"/>
          </c:dLbls>
          <c:cat>
            <c:strRef>
              <c:f>'07_Chart_Data'!$A$58:$A$62</c:f>
              <c:strCache>
                <c:ptCount val="5"/>
                <c:pt idx="0">
                  <c:v>0-39</c:v>
                </c:pt>
                <c:pt idx="1">
                  <c:v>40-59</c:v>
                </c:pt>
                <c:pt idx="2">
                  <c:v>60-79</c:v>
                </c:pt>
                <c:pt idx="3">
                  <c:v>80-89</c:v>
                </c:pt>
                <c:pt idx="4">
                  <c:v>90-100</c:v>
                </c:pt>
              </c:strCache>
            </c:strRef>
          </c:cat>
          <c:val>
            <c:numRef>
              <c:f>'07_Chart_Data'!$B$58:$B$62</c:f>
              <c:numCache>
                <c:formatCode>General</c:formatCode>
                <c:ptCount val="5"/>
                <c:pt idx="0">
                  <c:v>0</c:v>
                </c:pt>
                <c:pt idx="1">
                  <c:v>0</c:v>
                </c:pt>
                <c:pt idx="2">
                  <c:v>8</c:v>
                </c:pt>
                <c:pt idx="3">
                  <c:v>7</c:v>
                </c:pt>
                <c:pt idx="4">
                  <c:v>2</c:v>
                </c:pt>
              </c:numCache>
            </c:numRef>
          </c:val>
          <c:extLst>
            <c:ext xmlns:c16="http://schemas.microsoft.com/office/drawing/2014/chart" uri="{C3380CC4-5D6E-409C-BE32-E72D297353CC}">
              <c16:uniqueId val="{00000000-A3EF-4248-A377-96DC0C919C5C}"/>
            </c:ext>
          </c:extLst>
        </c:ser>
        <c:dLbls>
          <c:dLblPos val="inEnd"/>
          <c:showLegendKey val="0"/>
          <c:showVal val="1"/>
          <c:showCatName val="0"/>
          <c:showSerName val="0"/>
          <c:showPercent val="0"/>
          <c:showBubbleSize val="0"/>
        </c:dLbls>
        <c:gapWidth val="315"/>
        <c:overlap val="-40"/>
        <c:axId val="449119536"/>
        <c:axId val="449100400"/>
      </c:barChart>
      <c:catAx>
        <c:axId val="44911953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100400"/>
        <c:crosses val="autoZero"/>
        <c:auto val="1"/>
        <c:lblAlgn val="ctr"/>
        <c:lblOffset val="100"/>
        <c:noMultiLvlLbl val="0"/>
      </c:catAx>
      <c:valAx>
        <c:axId val="44910040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119536"/>
        <c:crosses val="autoZero"/>
        <c:crossBetween val="between"/>
      </c:valAx>
      <c:spPr>
        <a:solidFill>
          <a:srgbClr val="19233C">
            <a:alpha val="30196"/>
          </a:srgb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E222D"/>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r>
              <a: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rPr>
              <a:t>Attendance Status </a:t>
            </a:r>
          </a:p>
        </c:rich>
      </c:tx>
      <c:layout>
        <c:manualLayout>
          <c:xMode val="edge"/>
          <c:yMode val="edge"/>
          <c:x val="0.44209339028699846"/>
          <c:y val="3.107866010225678E-2"/>
        </c:manualLayout>
      </c:layout>
      <c:overlay val="0"/>
      <c:spPr>
        <a:noFill/>
        <a:ln>
          <a:noFill/>
        </a:ln>
        <a:effectLst/>
      </c:spPr>
      <c:txPr>
        <a:bodyPr rot="0" spcFirstLastPara="1" vertOverflow="ellipsis" vert="horz" wrap="square" anchor="ctr" anchorCtr="1"/>
        <a:lstStyle/>
        <a:p>
          <a:pPr algn="ctr" rtl="0">
            <a:def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tx>
            <c:strRef>
              <c:f>'07_Chart_Data'!$G$57</c:f>
              <c:strCache>
                <c:ptCount val="1"/>
                <c:pt idx="0">
                  <c:v>Count</c:v>
                </c:pt>
              </c:strCache>
            </c:strRef>
          </c:tx>
          <c:spPr>
            <a:solidFill>
              <a:srgbClr val="FB923C"/>
            </a:solidFill>
            <a:effectLst>
              <a:glow rad="228600">
                <a:schemeClr val="accent5">
                  <a:satMod val="175000"/>
                  <a:alpha val="40000"/>
                </a:schemeClr>
              </a:glow>
              <a:outerShdw dist="19050" algn="ctr" rotWithShape="0">
                <a:srgbClr val="000000">
                  <a:alpha val="94000"/>
                </a:srgbClr>
              </a:outerShdw>
            </a:effectLst>
          </c:spPr>
          <c:dPt>
            <c:idx val="0"/>
            <c:bubble3D val="0"/>
            <c:spPr>
              <a:solidFill>
                <a:srgbClr val="22C55E"/>
              </a:solidFill>
              <a:ln>
                <a:noFill/>
              </a:ln>
              <a:effectLst>
                <a:glow rad="228600">
                  <a:schemeClr val="accent5">
                    <a:satMod val="175000"/>
                    <a:alpha val="40000"/>
                  </a:schemeClr>
                </a:glow>
                <a:outerShdw dist="19050" algn="ctr" rotWithShape="0">
                  <a:srgbClr val="000000">
                    <a:alpha val="94000"/>
                  </a:srgbClr>
                </a:outerShdw>
              </a:effectLst>
            </c:spPr>
            <c:extLst>
              <c:ext xmlns:c16="http://schemas.microsoft.com/office/drawing/2014/chart" uri="{C3380CC4-5D6E-409C-BE32-E72D297353CC}">
                <c16:uniqueId val="{00000002-1D1B-49BA-A866-9D301646C126}"/>
              </c:ext>
            </c:extLst>
          </c:dPt>
          <c:dPt>
            <c:idx val="1"/>
            <c:bubble3D val="0"/>
            <c:spPr>
              <a:solidFill>
                <a:srgbClr val="FB923C"/>
              </a:solidFill>
              <a:ln>
                <a:noFill/>
              </a:ln>
              <a:effectLst>
                <a:glow rad="228600">
                  <a:schemeClr val="accent2">
                    <a:satMod val="175000"/>
                    <a:alpha val="40000"/>
                  </a:schemeClr>
                </a:glow>
                <a:outerShdw dist="19050" algn="ctr" rotWithShape="0">
                  <a:srgbClr val="000000">
                    <a:alpha val="94000"/>
                  </a:srgbClr>
                </a:outerShdw>
              </a:effectLst>
            </c:spPr>
            <c:extLst>
              <c:ext xmlns:c16="http://schemas.microsoft.com/office/drawing/2014/chart" uri="{C3380CC4-5D6E-409C-BE32-E72D297353CC}">
                <c16:uniqueId val="{00000003-FB6A-4828-ACB8-D2A5DE750CA6}"/>
              </c:ext>
            </c:extLst>
          </c:dPt>
          <c:dPt>
            <c:idx val="2"/>
            <c:bubble3D val="0"/>
            <c:spPr>
              <a:solidFill>
                <a:srgbClr val="22D3EE"/>
              </a:solidFill>
              <a:ln>
                <a:noFill/>
              </a:ln>
              <a:effectLst>
                <a:glow rad="228600">
                  <a:schemeClr val="accent6">
                    <a:satMod val="175000"/>
                    <a:alpha val="40000"/>
                  </a:schemeClr>
                </a:glow>
                <a:outerShdw dist="19050" algn="ctr" rotWithShape="0">
                  <a:srgbClr val="000000">
                    <a:alpha val="94000"/>
                  </a:srgbClr>
                </a:outerShdw>
              </a:effectLst>
            </c:spPr>
            <c:extLst>
              <c:ext xmlns:c16="http://schemas.microsoft.com/office/drawing/2014/chart" uri="{C3380CC4-5D6E-409C-BE32-E72D297353CC}">
                <c16:uniqueId val="{00000003-1D1B-49BA-A866-9D301646C126}"/>
              </c:ext>
            </c:extLst>
          </c:dPt>
          <c:dPt>
            <c:idx val="3"/>
            <c:bubble3D val="0"/>
            <c:spPr>
              <a:solidFill>
                <a:srgbClr val="FB923C"/>
              </a:solidFill>
              <a:ln>
                <a:noFill/>
              </a:ln>
              <a:effectLst>
                <a:glow rad="228600">
                  <a:schemeClr val="accent5">
                    <a:satMod val="175000"/>
                    <a:alpha val="40000"/>
                  </a:schemeClr>
                </a:glow>
                <a:outerShdw dist="19050" algn="ctr" rotWithShape="0">
                  <a:srgbClr val="000000">
                    <a:alpha val="94000"/>
                  </a:srgbClr>
                </a:outerShdw>
              </a:effectLst>
            </c:spPr>
            <c:extLst>
              <c:ext xmlns:c16="http://schemas.microsoft.com/office/drawing/2014/chart" uri="{C3380CC4-5D6E-409C-BE32-E72D297353CC}">
                <c16:uniqueId val="{00000007-F7C1-45B8-A813-FC084DF7605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'07_Chart_Data'!$F$58:$F$61</c:f>
              <c:strCache>
                <c:ptCount val="4"/>
                <c:pt idx="0">
                  <c:v>Present</c:v>
                </c:pt>
                <c:pt idx="1">
                  <c:v>Late</c:v>
                </c:pt>
                <c:pt idx="2">
                  <c:v>Absent</c:v>
                </c:pt>
                <c:pt idx="3">
                  <c:v>Total</c:v>
                </c:pt>
              </c:strCache>
            </c:strRef>
          </c:cat>
          <c:val>
            <c:numRef>
              <c:f>'07_Chart_Data'!$G$58:$G$61</c:f>
              <c:numCache>
                <c:formatCode>General</c:formatCode>
                <c:ptCount val="4"/>
                <c:pt idx="0">
                  <c:v>7</c:v>
                </c:pt>
                <c:pt idx="1">
                  <c:v>3</c:v>
                </c:pt>
                <c:pt idx="2">
                  <c:v>7</c:v>
                </c:pt>
                <c:pt idx="3">
                  <c:v>0</c:v>
                </c:pt>
              </c:numCache>
            </c:numRef>
          </c:val>
          <c:extLst>
            <c:ext xmlns:c16="http://schemas.microsoft.com/office/drawing/2014/chart" uri="{C3380CC4-5D6E-409C-BE32-E72D297353CC}">
              <c16:uniqueId val="{00000000-1D1B-49BA-A866-9D301646C126}"/>
            </c:ext>
          </c:extLst>
        </c:ser>
        <c:dLbls>
          <c:showLegendKey val="0"/>
          <c:showVal val="0"/>
          <c:showCatName val="0"/>
          <c:showSerName val="0"/>
          <c:showPercent val="1"/>
          <c:showBubbleSize val="0"/>
          <c:showLeaderLines val="1"/>
        </c:dLbls>
        <c:firstSliceAng val="8"/>
        <c:holeSize val="1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9233C">
        <a:alpha val="30196"/>
      </a:srgbClr>
    </a:solidFill>
    <a:ln>
      <a:noFill/>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r>
              <a: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rPr>
              <a:t>Attendance vs Score Scatter</a:t>
            </a:r>
          </a:p>
        </c:rich>
      </c:tx>
      <c:overlay val="0"/>
      <c:spPr>
        <a:noFill/>
        <a:ln>
          <a:noFill/>
        </a:ln>
        <a:effectLst/>
      </c:spPr>
      <c:txPr>
        <a:bodyPr rot="0" spcFirstLastPara="1" vertOverflow="ellipsis" vert="horz" wrap="square" anchor="ctr" anchorCtr="1"/>
        <a:lstStyle/>
        <a:p>
          <a:pPr algn="ctr" rtl="0">
            <a:defRPr lang="en-US" sz="1100" b="1" i="0" u="none" strike="noStrike" kern="1200" cap="small" spc="100" baseline="0">
              <a:solidFill>
                <a:sysClr val="window" lastClr="FFFFFF"/>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5.5323572076595794E-2"/>
          <c:y val="0.24388688133119002"/>
          <c:w val="0.9253794908386398"/>
          <c:h val="0.64586800291201329"/>
        </c:manualLayout>
      </c:layout>
      <c:scatterChart>
        <c:scatterStyle val="lineMarker"/>
        <c:varyColors val="0"/>
        <c:ser>
          <c:idx val="0"/>
          <c:order val="0"/>
          <c:tx>
            <c:strRef>
              <c:f>'07_Chart_Data'!$E$67</c:f>
              <c:strCache>
                <c:ptCount val="1"/>
                <c:pt idx="0">
                  <c:v>Test Score</c:v>
                </c:pt>
              </c:strCache>
            </c:strRef>
          </c:tx>
          <c:spPr>
            <a:ln w="25400" cap="rnd">
              <a:noFill/>
            </a:ln>
            <a:effectLst>
              <a:glow rad="139700">
                <a:schemeClr val="accent1">
                  <a:satMod val="175000"/>
                  <a:alpha val="14000"/>
                </a:schemeClr>
              </a:glow>
            </a:effectLst>
          </c:spPr>
          <c:marker>
            <c:symbol val="circle"/>
            <c:size val="3"/>
            <c:spPr>
              <a:solidFill>
                <a:srgbClr val="22D3EE"/>
              </a:solidFill>
              <a:ln>
                <a:noFill/>
              </a:ln>
              <a:effectLst>
                <a:glow rad="63500">
                  <a:schemeClr val="accent1">
                    <a:satMod val="175000"/>
                    <a:alpha val="25000"/>
                  </a:schemeClr>
                </a:glow>
              </a:effectLst>
            </c:spPr>
          </c:marker>
          <c:xVal>
            <c:numRef>
              <c:f>'07_Chart_Data'!$D$68:$D$90</c:f>
              <c:numCache>
                <c:formatCode>0.0</c:formatCode>
                <c:ptCount val="23"/>
                <c:pt idx="0">
                  <c:v>1</c:v>
                </c:pt>
                <c:pt idx="1">
                  <c:v>1</c:v>
                </c:pt>
                <c:pt idx="2">
                  <c:v>0.78</c:v>
                </c:pt>
                <c:pt idx="3">
                  <c:v>1</c:v>
                </c:pt>
                <c:pt idx="4">
                  <c:v>0.78</c:v>
                </c:pt>
                <c:pt idx="5">
                  <c:v>0.9</c:v>
                </c:pt>
                <c:pt idx="6">
                  <c:v>0.85</c:v>
                </c:pt>
                <c:pt idx="7">
                  <c:v>0.8</c:v>
                </c:pt>
                <c:pt idx="8">
                  <c:v>1</c:v>
                </c:pt>
                <c:pt idx="9">
                  <c:v>1</c:v>
                </c:pt>
                <c:pt idx="10">
                  <c:v>1</c:v>
                </c:pt>
                <c:pt idx="11">
                  <c:v>1</c:v>
                </c:pt>
                <c:pt idx="12">
                  <c:v>0.8</c:v>
                </c:pt>
                <c:pt idx="13">
                  <c:v>0.88</c:v>
                </c:pt>
                <c:pt idx="14">
                  <c:v>0.8</c:v>
                </c:pt>
                <c:pt idx="15">
                  <c:v>1</c:v>
                </c:pt>
                <c:pt idx="16">
                  <c:v>1</c:v>
                </c:pt>
              </c:numCache>
            </c:numRef>
          </c:xVal>
          <c:yVal>
            <c:numRef>
              <c:f>'07_Chart_Data'!$E$68:$E$90</c:f>
              <c:numCache>
                <c:formatCode>General</c:formatCode>
                <c:ptCount val="23"/>
                <c:pt idx="0">
                  <c:v>69</c:v>
                </c:pt>
                <c:pt idx="1">
                  <c:v>80</c:v>
                </c:pt>
                <c:pt idx="2">
                  <c:v>73</c:v>
                </c:pt>
                <c:pt idx="3">
                  <c:v>77</c:v>
                </c:pt>
                <c:pt idx="4">
                  <c:v>74</c:v>
                </c:pt>
                <c:pt idx="5">
                  <c:v>95</c:v>
                </c:pt>
                <c:pt idx="6">
                  <c:v>81</c:v>
                </c:pt>
                <c:pt idx="7">
                  <c:v>72</c:v>
                </c:pt>
                <c:pt idx="8">
                  <c:v>88</c:v>
                </c:pt>
                <c:pt idx="9">
                  <c:v>75</c:v>
                </c:pt>
                <c:pt idx="10">
                  <c:v>82</c:v>
                </c:pt>
                <c:pt idx="11">
                  <c:v>92</c:v>
                </c:pt>
                <c:pt idx="12">
                  <c:v>75</c:v>
                </c:pt>
                <c:pt idx="13">
                  <c:v>76</c:v>
                </c:pt>
                <c:pt idx="14">
                  <c:v>87</c:v>
                </c:pt>
                <c:pt idx="15">
                  <c:v>86</c:v>
                </c:pt>
                <c:pt idx="16">
                  <c:v>85</c:v>
                </c:pt>
              </c:numCache>
            </c:numRef>
          </c:yVal>
          <c:smooth val="0"/>
          <c:extLst>
            <c:ext xmlns:c16="http://schemas.microsoft.com/office/drawing/2014/chart" uri="{C3380CC4-5D6E-409C-BE32-E72D297353CC}">
              <c16:uniqueId val="{00000000-0DA6-4A09-B9C4-83A58617F0CF}"/>
            </c:ext>
          </c:extLst>
        </c:ser>
        <c:dLbls>
          <c:showLegendKey val="0"/>
          <c:showVal val="0"/>
          <c:showCatName val="0"/>
          <c:showSerName val="0"/>
          <c:showPercent val="0"/>
          <c:showBubbleSize val="0"/>
        </c:dLbls>
        <c:axId val="517696912"/>
        <c:axId val="517689424"/>
      </c:scatterChart>
      <c:valAx>
        <c:axId val="5176969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7689424"/>
        <c:crosses val="autoZero"/>
        <c:crossBetween val="midCat"/>
      </c:valAx>
      <c:valAx>
        <c:axId val="51768942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7696912"/>
        <c:crosses val="autoZero"/>
        <c:crossBetween val="midCat"/>
      </c:valAx>
      <c:spPr>
        <a:noFill/>
        <a:ln>
          <a:noFill/>
        </a:ln>
        <a:effectLst/>
      </c:spPr>
    </c:plotArea>
    <c:plotVisOnly val="1"/>
    <c:dispBlanksAs val="gap"/>
    <c:showDLblsOverMax val="0"/>
  </c:chart>
  <c:spPr>
    <a:solidFill>
      <a:srgbClr val="19233C">
        <a:alpha val="30196"/>
      </a:srgb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05_Reports'!A1"/><Relationship Id="rId2" Type="http://schemas.openxmlformats.org/officeDocument/2006/relationships/hyperlink" Target="#'01_Raw_Data'!A1"/><Relationship Id="rId1" Type="http://schemas.openxmlformats.org/officeDocument/2006/relationships/hyperlink" Target="#'06_Dashboard'!A4"/><Relationship Id="rId6" Type="http://schemas.openxmlformats.org/officeDocument/2006/relationships/hyperlink" Target="#'03_Calculations'!A1"/><Relationship Id="rId5" Type="http://schemas.openxmlformats.org/officeDocument/2006/relationships/hyperlink" Target="#'02_Master_Data'!A1"/><Relationship Id="rId4" Type="http://schemas.openxmlformats.org/officeDocument/2006/relationships/hyperlink" Target="#'04_Pivot'!A1"/></Relationships>
</file>

<file path=xl/drawings/_rels/drawing2.xml.rels><?xml version="1.0" encoding="UTF-8" standalone="yes"?>
<Relationships xmlns="http://schemas.openxmlformats.org/package/2006/relationships"><Relationship Id="rId3" Type="http://schemas.openxmlformats.org/officeDocument/2006/relationships/hyperlink" Target="#'05_Reports'!A1"/><Relationship Id="rId2" Type="http://schemas.openxmlformats.org/officeDocument/2006/relationships/hyperlink" Target="#'01_Raw_Data'!A1"/><Relationship Id="rId1" Type="http://schemas.openxmlformats.org/officeDocument/2006/relationships/hyperlink" Target="#'06_Dashboard'!A4"/><Relationship Id="rId6" Type="http://schemas.openxmlformats.org/officeDocument/2006/relationships/hyperlink" Target="#'03_Calculations'!A1"/><Relationship Id="rId5" Type="http://schemas.openxmlformats.org/officeDocument/2006/relationships/hyperlink" Target="#'02_Master_Data'!A1"/><Relationship Id="rId4" Type="http://schemas.openxmlformats.org/officeDocument/2006/relationships/hyperlink" Target="#'04_Pivot'!A1"/></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hyperlink" Target="#'05_Reports'!A1"/><Relationship Id="rId2" Type="http://schemas.openxmlformats.org/officeDocument/2006/relationships/hyperlink" Target="#'01_Raw_Data'!A1"/><Relationship Id="rId1" Type="http://schemas.openxmlformats.org/officeDocument/2006/relationships/hyperlink" Target="#'06_Dashboard'!A4"/><Relationship Id="rId6" Type="http://schemas.openxmlformats.org/officeDocument/2006/relationships/hyperlink" Target="#'03_Calculations'!A1"/><Relationship Id="rId5" Type="http://schemas.openxmlformats.org/officeDocument/2006/relationships/hyperlink" Target="#'02_Master_Data'!A1"/><Relationship Id="rId4" Type="http://schemas.openxmlformats.org/officeDocument/2006/relationships/hyperlink" Target="#'04_Pivot'!A1"/></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18" Type="http://schemas.openxmlformats.org/officeDocument/2006/relationships/hyperlink" Target="#'03_Calculations'!A1"/><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17" Type="http://schemas.openxmlformats.org/officeDocument/2006/relationships/hyperlink" Target="#'04_Pivot'!A1"/><Relationship Id="rId2" Type="http://schemas.openxmlformats.org/officeDocument/2006/relationships/chart" Target="../charts/chart3.xml"/><Relationship Id="rId16" Type="http://schemas.openxmlformats.org/officeDocument/2006/relationships/hyperlink" Target="#'05_Reports'!A1"/><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5" Type="http://schemas.openxmlformats.org/officeDocument/2006/relationships/hyperlink" Target="#'01_Raw_Data'!A1"/><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 Id="rId14" Type="http://schemas.openxmlformats.org/officeDocument/2006/relationships/hyperlink" Target="#'06_Dashboard'!A7"/></Relationships>
</file>

<file path=xl/drawings/_rels/drawing6.xml.rels><?xml version="1.0" encoding="UTF-8" standalone="yes"?>
<Relationships xmlns="http://schemas.openxmlformats.org/package/2006/relationships"><Relationship Id="rId3" Type="http://schemas.openxmlformats.org/officeDocument/2006/relationships/hyperlink" Target="#'05_Reports'!A1"/><Relationship Id="rId2" Type="http://schemas.openxmlformats.org/officeDocument/2006/relationships/hyperlink" Target="#'01_Raw_Data'!A1"/><Relationship Id="rId1" Type="http://schemas.openxmlformats.org/officeDocument/2006/relationships/hyperlink" Target="#'06_Dashboard'!A4"/><Relationship Id="rId6" Type="http://schemas.openxmlformats.org/officeDocument/2006/relationships/hyperlink" Target="#'03_Calculations'!A1"/><Relationship Id="rId5" Type="http://schemas.openxmlformats.org/officeDocument/2006/relationships/hyperlink" Target="#'02_Master_Data'!A1"/><Relationship Id="rId4" Type="http://schemas.openxmlformats.org/officeDocument/2006/relationships/hyperlink" Target="#'04_Pivot'!A1"/></Relationships>
</file>

<file path=xl/drawings/_rels/drawing7.xml.rels><?xml version="1.0" encoding="UTF-8" standalone="yes"?>
<Relationships xmlns="http://schemas.openxmlformats.org/package/2006/relationships"><Relationship Id="rId3" Type="http://schemas.openxmlformats.org/officeDocument/2006/relationships/hyperlink" Target="#'05_Reports'!A1"/><Relationship Id="rId2" Type="http://schemas.openxmlformats.org/officeDocument/2006/relationships/hyperlink" Target="#'01_Raw_Data'!A1"/><Relationship Id="rId1" Type="http://schemas.openxmlformats.org/officeDocument/2006/relationships/hyperlink" Target="#'06_Dashboard'!A4"/><Relationship Id="rId6" Type="http://schemas.openxmlformats.org/officeDocument/2006/relationships/hyperlink" Target="#'03_Calculations'!A1"/><Relationship Id="rId5" Type="http://schemas.openxmlformats.org/officeDocument/2006/relationships/hyperlink" Target="#'02_Master_Data'!A1"/><Relationship Id="rId4" Type="http://schemas.openxmlformats.org/officeDocument/2006/relationships/hyperlink" Target="#'04_Pivot'!A1"/></Relationships>
</file>

<file path=xl/drawings/drawing1.xml><?xml version="1.0" encoding="utf-8"?>
<xdr:wsDr xmlns:xdr="http://schemas.openxmlformats.org/drawingml/2006/spreadsheetDrawing" xmlns:a="http://schemas.openxmlformats.org/drawingml/2006/main">
  <xdr:twoCellAnchor>
    <xdr:from>
      <xdr:col>0</xdr:col>
      <xdr:colOff>868728</xdr:colOff>
      <xdr:row>2</xdr:row>
      <xdr:rowOff>25733</xdr:rowOff>
    </xdr:from>
    <xdr:to>
      <xdr:col>1</xdr:col>
      <xdr:colOff>725853</xdr:colOff>
      <xdr:row>2</xdr:row>
      <xdr:rowOff>349733</xdr:rowOff>
    </xdr:to>
    <xdr:sp macro="" textlink="">
      <xdr:nvSpPr>
        <xdr:cNvPr id="38" name="Rectangle: Rounded Corners 37">
          <a:hlinkClick xmlns:r="http://schemas.openxmlformats.org/officeDocument/2006/relationships" r:id="rId1"/>
          <a:extLst>
            <a:ext uri="{FF2B5EF4-FFF2-40B4-BE49-F238E27FC236}">
              <a16:creationId xmlns:a16="http://schemas.microsoft.com/office/drawing/2014/main" id="{563C5E57-AB7C-4810-9C78-1BDC6AA05F5B}"/>
            </a:ext>
          </a:extLst>
        </xdr:cNvPr>
        <xdr:cNvSpPr/>
      </xdr:nvSpPr>
      <xdr:spPr>
        <a:xfrm>
          <a:off x="868728" y="604853"/>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       HOME</a:t>
          </a:r>
        </a:p>
        <a:p>
          <a:pPr algn="l"/>
          <a:endPar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2</xdr:col>
      <xdr:colOff>831928</xdr:colOff>
      <xdr:row>2</xdr:row>
      <xdr:rowOff>28210</xdr:rowOff>
    </xdr:from>
    <xdr:to>
      <xdr:col>3</xdr:col>
      <xdr:colOff>689053</xdr:colOff>
      <xdr:row>2</xdr:row>
      <xdr:rowOff>352210</xdr:rowOff>
    </xdr:to>
    <xdr:sp macro="" textlink="">
      <xdr:nvSpPr>
        <xdr:cNvPr id="39" name="Rectangle: Rounded Corners 38">
          <a:hlinkClick xmlns:r="http://schemas.openxmlformats.org/officeDocument/2006/relationships" r:id="rId2"/>
          <a:extLst>
            <a:ext uri="{FF2B5EF4-FFF2-40B4-BE49-F238E27FC236}">
              <a16:creationId xmlns:a16="http://schemas.microsoft.com/office/drawing/2014/main" id="{3C2B680B-9F52-4954-B097-82A6EB3198FB}"/>
            </a:ext>
          </a:extLst>
        </xdr:cNvPr>
        <xdr:cNvSpPr/>
      </xdr:nvSpPr>
      <xdr:spPr>
        <a:xfrm>
          <a:off x="3788488" y="607330"/>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    RAW</a:t>
          </a:r>
          <a:r>
            <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rPr>
            <a:t> DATA</a:t>
          </a:r>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a:p>
          <a:pPr algn="l"/>
          <a:endPar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10</xdr:col>
      <xdr:colOff>774421</xdr:colOff>
      <xdr:row>2</xdr:row>
      <xdr:rowOff>23012</xdr:rowOff>
    </xdr:from>
    <xdr:to>
      <xdr:col>11</xdr:col>
      <xdr:colOff>631546</xdr:colOff>
      <xdr:row>2</xdr:row>
      <xdr:rowOff>347012</xdr:rowOff>
    </xdr:to>
    <xdr:sp macro="" textlink="">
      <xdr:nvSpPr>
        <xdr:cNvPr id="40" name="Rectangle: Rounded Corners 39">
          <a:hlinkClick xmlns:r="http://schemas.openxmlformats.org/officeDocument/2006/relationships" r:id="rId3"/>
          <a:extLst>
            <a:ext uri="{FF2B5EF4-FFF2-40B4-BE49-F238E27FC236}">
              <a16:creationId xmlns:a16="http://schemas.microsoft.com/office/drawing/2014/main" id="{9C7EE016-B6A1-47BC-8151-E7A554BB2807}"/>
            </a:ext>
          </a:extLst>
        </xdr:cNvPr>
        <xdr:cNvSpPr/>
      </xdr:nvSpPr>
      <xdr:spPr>
        <a:xfrm>
          <a:off x="15557221" y="602132"/>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a:solidFill>
                <a:schemeClr val="lt1"/>
              </a:solidFill>
              <a:effectLst>
                <a:outerShdw blurRad="38100" dist="22860" dir="5400000" algn="tl" rotWithShape="0">
                  <a:srgbClr val="000000">
                    <a:alpha val="30000"/>
                  </a:srgbClr>
                </a:outerShdw>
              </a:effectLst>
              <a:latin typeface="+mn-lt"/>
              <a:ea typeface="+mn-ea"/>
              <a:cs typeface="+mn-cs"/>
            </a:rPr>
            <a:t>     </a:t>
          </a:r>
          <a:r>
            <a:rPr lang="en-IN"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REPORTS</a:t>
          </a:r>
          <a:endParaRPr lang="en-IN" sz="1400" b="1">
            <a:solidFill>
              <a:schemeClr val="lt1"/>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8</xdr:col>
      <xdr:colOff>810140</xdr:colOff>
      <xdr:row>2</xdr:row>
      <xdr:rowOff>25732</xdr:rowOff>
    </xdr:from>
    <xdr:to>
      <xdr:col>9</xdr:col>
      <xdr:colOff>667265</xdr:colOff>
      <xdr:row>2</xdr:row>
      <xdr:rowOff>349732</xdr:rowOff>
    </xdr:to>
    <xdr:sp macro="" textlink="">
      <xdr:nvSpPr>
        <xdr:cNvPr id="41" name="Rectangle: Rounded Corners 40">
          <a:hlinkClick xmlns:r="http://schemas.openxmlformats.org/officeDocument/2006/relationships" r:id="rId4"/>
          <a:extLst>
            <a:ext uri="{FF2B5EF4-FFF2-40B4-BE49-F238E27FC236}">
              <a16:creationId xmlns:a16="http://schemas.microsoft.com/office/drawing/2014/main" id="{CA762591-C36E-4727-8DED-33DFD125E3DD}"/>
            </a:ext>
          </a:extLst>
        </xdr:cNvPr>
        <xdr:cNvSpPr/>
      </xdr:nvSpPr>
      <xdr:spPr>
        <a:xfrm>
          <a:off x="12636380" y="604852"/>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rPr>
            <a:t>       PIVOT</a:t>
          </a: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4</xdr:col>
      <xdr:colOff>834523</xdr:colOff>
      <xdr:row>2</xdr:row>
      <xdr:rowOff>25005</xdr:rowOff>
    </xdr:from>
    <xdr:to>
      <xdr:col>5</xdr:col>
      <xdr:colOff>691648</xdr:colOff>
      <xdr:row>2</xdr:row>
      <xdr:rowOff>349005</xdr:rowOff>
    </xdr:to>
    <xdr:sp macro="" textlink="">
      <xdr:nvSpPr>
        <xdr:cNvPr id="42" name="Rectangle: Rounded Corners 41">
          <a:hlinkClick xmlns:r="http://schemas.openxmlformats.org/officeDocument/2006/relationships" r:id="rId5"/>
          <a:extLst>
            <a:ext uri="{FF2B5EF4-FFF2-40B4-BE49-F238E27FC236}">
              <a16:creationId xmlns:a16="http://schemas.microsoft.com/office/drawing/2014/main" id="{63DB37E5-A930-4A9E-A78E-74B3A3DFAD9B}"/>
            </a:ext>
          </a:extLst>
        </xdr:cNvPr>
        <xdr:cNvSpPr/>
      </xdr:nvSpPr>
      <xdr:spPr>
        <a:xfrm>
          <a:off x="6747643" y="604125"/>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latin typeface="+mn-lt"/>
              <a:ea typeface="+mn-ea"/>
              <a:cs typeface="+mn-cs"/>
            </a:rPr>
            <a:t> MASTER DATA</a:t>
          </a: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6</xdr:col>
      <xdr:colOff>786764</xdr:colOff>
      <xdr:row>2</xdr:row>
      <xdr:rowOff>19050</xdr:rowOff>
    </xdr:from>
    <xdr:to>
      <xdr:col>7</xdr:col>
      <xdr:colOff>643889</xdr:colOff>
      <xdr:row>2</xdr:row>
      <xdr:rowOff>343050</xdr:rowOff>
    </xdr:to>
    <xdr:sp macro="" textlink="">
      <xdr:nvSpPr>
        <xdr:cNvPr id="43" name="Rectangle: Rounded Corners 42">
          <a:hlinkClick xmlns:r="http://schemas.openxmlformats.org/officeDocument/2006/relationships" r:id="rId6"/>
          <a:extLst>
            <a:ext uri="{FF2B5EF4-FFF2-40B4-BE49-F238E27FC236}">
              <a16:creationId xmlns:a16="http://schemas.microsoft.com/office/drawing/2014/main" id="{0DE03F20-91D6-48B0-AF24-5D95288F3FD2}"/>
            </a:ext>
          </a:extLst>
        </xdr:cNvPr>
        <xdr:cNvSpPr/>
      </xdr:nvSpPr>
      <xdr:spPr>
        <a:xfrm>
          <a:off x="9656444" y="598170"/>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 CALCULATION</a:t>
          </a:r>
          <a:endPar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868728</xdr:colOff>
      <xdr:row>2</xdr:row>
      <xdr:rowOff>25733</xdr:rowOff>
    </xdr:from>
    <xdr:to>
      <xdr:col>1</xdr:col>
      <xdr:colOff>725853</xdr:colOff>
      <xdr:row>2</xdr:row>
      <xdr:rowOff>349733</xdr:rowOff>
    </xdr:to>
    <xdr:sp macro="" textlink="">
      <xdr:nvSpPr>
        <xdr:cNvPr id="13" name="Rectangle: Rounded Corners 12">
          <a:hlinkClick xmlns:r="http://schemas.openxmlformats.org/officeDocument/2006/relationships" r:id="rId1"/>
          <a:extLst>
            <a:ext uri="{FF2B5EF4-FFF2-40B4-BE49-F238E27FC236}">
              <a16:creationId xmlns:a16="http://schemas.microsoft.com/office/drawing/2014/main" id="{3C4919FC-9F08-4519-BF76-C0E3D8599EC5}"/>
            </a:ext>
          </a:extLst>
        </xdr:cNvPr>
        <xdr:cNvSpPr/>
      </xdr:nvSpPr>
      <xdr:spPr>
        <a:xfrm>
          <a:off x="868728" y="604853"/>
          <a:ext cx="135064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       HOME</a:t>
          </a:r>
        </a:p>
        <a:p>
          <a:pPr algn="l"/>
          <a:endPar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2</xdr:col>
      <xdr:colOff>831928</xdr:colOff>
      <xdr:row>2</xdr:row>
      <xdr:rowOff>28210</xdr:rowOff>
    </xdr:from>
    <xdr:to>
      <xdr:col>3</xdr:col>
      <xdr:colOff>689053</xdr:colOff>
      <xdr:row>2</xdr:row>
      <xdr:rowOff>352210</xdr:rowOff>
    </xdr:to>
    <xdr:sp macro="" textlink="">
      <xdr:nvSpPr>
        <xdr:cNvPr id="14" name="Rectangle: Rounded Corners 13">
          <a:hlinkClick xmlns:r="http://schemas.openxmlformats.org/officeDocument/2006/relationships" r:id="rId2"/>
          <a:extLst>
            <a:ext uri="{FF2B5EF4-FFF2-40B4-BE49-F238E27FC236}">
              <a16:creationId xmlns:a16="http://schemas.microsoft.com/office/drawing/2014/main" id="{52F69846-5509-459F-BF2C-6CEB3B11BA56}"/>
            </a:ext>
          </a:extLst>
        </xdr:cNvPr>
        <xdr:cNvSpPr/>
      </xdr:nvSpPr>
      <xdr:spPr>
        <a:xfrm>
          <a:off x="3818968" y="607330"/>
          <a:ext cx="135064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    RAW</a:t>
          </a:r>
          <a:r>
            <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rPr>
            <a:t> DATA</a:t>
          </a:r>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a:p>
          <a:pPr algn="l"/>
          <a:endPar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10</xdr:col>
      <xdr:colOff>774421</xdr:colOff>
      <xdr:row>2</xdr:row>
      <xdr:rowOff>23012</xdr:rowOff>
    </xdr:from>
    <xdr:to>
      <xdr:col>11</xdr:col>
      <xdr:colOff>631546</xdr:colOff>
      <xdr:row>2</xdr:row>
      <xdr:rowOff>347012</xdr:rowOff>
    </xdr:to>
    <xdr:sp macro="" textlink="">
      <xdr:nvSpPr>
        <xdr:cNvPr id="15" name="Rectangle: Rounded Corners 14">
          <a:hlinkClick xmlns:r="http://schemas.openxmlformats.org/officeDocument/2006/relationships" r:id="rId3"/>
          <a:extLst>
            <a:ext uri="{FF2B5EF4-FFF2-40B4-BE49-F238E27FC236}">
              <a16:creationId xmlns:a16="http://schemas.microsoft.com/office/drawing/2014/main" id="{6B643B98-7F25-4542-9DA5-11C330D97478}"/>
            </a:ext>
          </a:extLst>
        </xdr:cNvPr>
        <xdr:cNvSpPr/>
      </xdr:nvSpPr>
      <xdr:spPr>
        <a:xfrm>
          <a:off x="15608021" y="612292"/>
          <a:ext cx="134048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a:solidFill>
                <a:schemeClr val="lt1"/>
              </a:solidFill>
              <a:effectLst>
                <a:outerShdw blurRad="38100" dist="22860" dir="5400000" algn="tl" rotWithShape="0">
                  <a:srgbClr val="000000">
                    <a:alpha val="30000"/>
                  </a:srgbClr>
                </a:outerShdw>
              </a:effectLst>
              <a:latin typeface="+mn-lt"/>
              <a:ea typeface="+mn-ea"/>
              <a:cs typeface="+mn-cs"/>
            </a:rPr>
            <a:t>     </a:t>
          </a:r>
          <a:r>
            <a:rPr lang="en-IN"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REPORTS</a:t>
          </a:r>
          <a:endParaRPr lang="en-IN" sz="1400" b="1">
            <a:solidFill>
              <a:schemeClr val="lt1"/>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8</xdr:col>
      <xdr:colOff>810140</xdr:colOff>
      <xdr:row>2</xdr:row>
      <xdr:rowOff>25732</xdr:rowOff>
    </xdr:from>
    <xdr:to>
      <xdr:col>9</xdr:col>
      <xdr:colOff>667265</xdr:colOff>
      <xdr:row>2</xdr:row>
      <xdr:rowOff>349732</xdr:rowOff>
    </xdr:to>
    <xdr:sp macro="" textlink="">
      <xdr:nvSpPr>
        <xdr:cNvPr id="16" name="Rectangle: Rounded Corners 15">
          <a:hlinkClick xmlns:r="http://schemas.openxmlformats.org/officeDocument/2006/relationships" r:id="rId4"/>
          <a:extLst>
            <a:ext uri="{FF2B5EF4-FFF2-40B4-BE49-F238E27FC236}">
              <a16:creationId xmlns:a16="http://schemas.microsoft.com/office/drawing/2014/main" id="{A1D23C69-82B1-4219-93ED-021EB860BE81}"/>
            </a:ext>
          </a:extLst>
        </xdr:cNvPr>
        <xdr:cNvSpPr/>
      </xdr:nvSpPr>
      <xdr:spPr>
        <a:xfrm>
          <a:off x="12677020" y="615012"/>
          <a:ext cx="134048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rPr>
            <a:t>       PIVOT</a:t>
          </a: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4</xdr:col>
      <xdr:colOff>834523</xdr:colOff>
      <xdr:row>2</xdr:row>
      <xdr:rowOff>25005</xdr:rowOff>
    </xdr:from>
    <xdr:to>
      <xdr:col>5</xdr:col>
      <xdr:colOff>691648</xdr:colOff>
      <xdr:row>2</xdr:row>
      <xdr:rowOff>349005</xdr:rowOff>
    </xdr:to>
    <xdr:sp macro="" textlink="">
      <xdr:nvSpPr>
        <xdr:cNvPr id="17" name="Rectangle: Rounded Corners 16">
          <a:hlinkClick xmlns:r="http://schemas.openxmlformats.org/officeDocument/2006/relationships" r:id="rId5"/>
          <a:extLst>
            <a:ext uri="{FF2B5EF4-FFF2-40B4-BE49-F238E27FC236}">
              <a16:creationId xmlns:a16="http://schemas.microsoft.com/office/drawing/2014/main" id="{AF86C158-2952-4A7B-9A20-5FF4C4332A12}"/>
            </a:ext>
          </a:extLst>
        </xdr:cNvPr>
        <xdr:cNvSpPr/>
      </xdr:nvSpPr>
      <xdr:spPr>
        <a:xfrm>
          <a:off x="6767963" y="614285"/>
          <a:ext cx="134048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latin typeface="+mn-lt"/>
              <a:ea typeface="+mn-ea"/>
              <a:cs typeface="+mn-cs"/>
            </a:rPr>
            <a:t> MASTER DATA</a:t>
          </a: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6</xdr:col>
      <xdr:colOff>786764</xdr:colOff>
      <xdr:row>2</xdr:row>
      <xdr:rowOff>19050</xdr:rowOff>
    </xdr:from>
    <xdr:to>
      <xdr:col>7</xdr:col>
      <xdr:colOff>643889</xdr:colOff>
      <xdr:row>2</xdr:row>
      <xdr:rowOff>343050</xdr:rowOff>
    </xdr:to>
    <xdr:sp macro="" textlink="">
      <xdr:nvSpPr>
        <xdr:cNvPr id="18" name="Rectangle: Rounded Corners 17">
          <a:hlinkClick xmlns:r="http://schemas.openxmlformats.org/officeDocument/2006/relationships" r:id="rId6"/>
          <a:extLst>
            <a:ext uri="{FF2B5EF4-FFF2-40B4-BE49-F238E27FC236}">
              <a16:creationId xmlns:a16="http://schemas.microsoft.com/office/drawing/2014/main" id="{EF2280E6-D7E9-4113-AE59-122643D5B38B}"/>
            </a:ext>
          </a:extLst>
        </xdr:cNvPr>
        <xdr:cNvSpPr/>
      </xdr:nvSpPr>
      <xdr:spPr>
        <a:xfrm>
          <a:off x="9686924" y="608330"/>
          <a:ext cx="134048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 CALCULATION</a:t>
          </a:r>
          <a:endPar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62</xdr:col>
      <xdr:colOff>72889</xdr:colOff>
      <xdr:row>18</xdr:row>
      <xdr:rowOff>9940</xdr:rowOff>
    </xdr:from>
    <xdr:to>
      <xdr:col>66</xdr:col>
      <xdr:colOff>1398106</xdr:colOff>
      <xdr:row>32</xdr:row>
      <xdr:rowOff>142462</xdr:rowOff>
    </xdr:to>
    <xdr:graphicFrame macro="">
      <xdr:nvGraphicFramePr>
        <xdr:cNvPr id="2" name="Chart 1">
          <a:extLst>
            <a:ext uri="{FF2B5EF4-FFF2-40B4-BE49-F238E27FC236}">
              <a16:creationId xmlns:a16="http://schemas.microsoft.com/office/drawing/2014/main" id="{6A211B15-68FF-499B-B78D-D9814A0F2B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868728</xdr:colOff>
      <xdr:row>2</xdr:row>
      <xdr:rowOff>25733</xdr:rowOff>
    </xdr:from>
    <xdr:to>
      <xdr:col>1</xdr:col>
      <xdr:colOff>725853</xdr:colOff>
      <xdr:row>2</xdr:row>
      <xdr:rowOff>349733</xdr:rowOff>
    </xdr:to>
    <xdr:sp macro="" textlink="">
      <xdr:nvSpPr>
        <xdr:cNvPr id="8" name="Rectangle: Rounded Corners 7">
          <a:hlinkClick xmlns:r="http://schemas.openxmlformats.org/officeDocument/2006/relationships" r:id="rId1"/>
          <a:extLst>
            <a:ext uri="{FF2B5EF4-FFF2-40B4-BE49-F238E27FC236}">
              <a16:creationId xmlns:a16="http://schemas.microsoft.com/office/drawing/2014/main" id="{37D9AD7C-24E0-40D3-B261-7BF131EE58AE}"/>
            </a:ext>
          </a:extLst>
        </xdr:cNvPr>
        <xdr:cNvSpPr/>
      </xdr:nvSpPr>
      <xdr:spPr>
        <a:xfrm>
          <a:off x="868728" y="620093"/>
          <a:ext cx="134302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       HOME</a:t>
          </a:r>
        </a:p>
        <a:p>
          <a:pPr algn="l"/>
          <a:endPar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2</xdr:col>
      <xdr:colOff>831928</xdr:colOff>
      <xdr:row>2</xdr:row>
      <xdr:rowOff>28210</xdr:rowOff>
    </xdr:from>
    <xdr:to>
      <xdr:col>3</xdr:col>
      <xdr:colOff>689053</xdr:colOff>
      <xdr:row>2</xdr:row>
      <xdr:rowOff>352210</xdr:rowOff>
    </xdr:to>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470FBDF3-9AEB-4E23-A816-0FBCB74FA070}"/>
            </a:ext>
          </a:extLst>
        </xdr:cNvPr>
        <xdr:cNvSpPr/>
      </xdr:nvSpPr>
      <xdr:spPr>
        <a:xfrm>
          <a:off x="3803728" y="622570"/>
          <a:ext cx="134302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    RAW</a:t>
          </a:r>
          <a:r>
            <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rPr>
            <a:t> DATA</a:t>
          </a:r>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a:p>
          <a:pPr algn="l"/>
          <a:endPar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10</xdr:col>
      <xdr:colOff>774421</xdr:colOff>
      <xdr:row>2</xdr:row>
      <xdr:rowOff>23012</xdr:rowOff>
    </xdr:from>
    <xdr:to>
      <xdr:col>11</xdr:col>
      <xdr:colOff>631546</xdr:colOff>
      <xdr:row>2</xdr:row>
      <xdr:rowOff>347012</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A660A34F-7696-438E-B6EB-C32F7A15083A}"/>
            </a:ext>
          </a:extLst>
        </xdr:cNvPr>
        <xdr:cNvSpPr/>
      </xdr:nvSpPr>
      <xdr:spPr>
        <a:xfrm>
          <a:off x="15633421" y="617372"/>
          <a:ext cx="134302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a:solidFill>
                <a:schemeClr val="lt1"/>
              </a:solidFill>
              <a:effectLst>
                <a:outerShdw blurRad="38100" dist="22860" dir="5400000" algn="tl" rotWithShape="0">
                  <a:srgbClr val="000000">
                    <a:alpha val="30000"/>
                  </a:srgbClr>
                </a:outerShdw>
              </a:effectLst>
              <a:latin typeface="+mn-lt"/>
              <a:ea typeface="+mn-ea"/>
              <a:cs typeface="+mn-cs"/>
            </a:rPr>
            <a:t>     </a:t>
          </a:r>
          <a:r>
            <a:rPr lang="en-IN"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REPORTS</a:t>
          </a:r>
          <a:endParaRPr lang="en-IN" sz="1400" b="1">
            <a:solidFill>
              <a:schemeClr val="lt1"/>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8</xdr:col>
      <xdr:colOff>810140</xdr:colOff>
      <xdr:row>2</xdr:row>
      <xdr:rowOff>25732</xdr:rowOff>
    </xdr:from>
    <xdr:to>
      <xdr:col>9</xdr:col>
      <xdr:colOff>667265</xdr:colOff>
      <xdr:row>2</xdr:row>
      <xdr:rowOff>349732</xdr:rowOff>
    </xdr:to>
    <xdr:sp macro="" textlink="">
      <xdr:nvSpPr>
        <xdr:cNvPr id="11" name="Rectangle: Rounded Corners 10">
          <a:hlinkClick xmlns:r="http://schemas.openxmlformats.org/officeDocument/2006/relationships" r:id="rId4"/>
          <a:extLst>
            <a:ext uri="{FF2B5EF4-FFF2-40B4-BE49-F238E27FC236}">
              <a16:creationId xmlns:a16="http://schemas.microsoft.com/office/drawing/2014/main" id="{C6565A75-496C-48A5-A527-C55F2207236C}"/>
            </a:ext>
          </a:extLst>
        </xdr:cNvPr>
        <xdr:cNvSpPr/>
      </xdr:nvSpPr>
      <xdr:spPr>
        <a:xfrm>
          <a:off x="12697340" y="620092"/>
          <a:ext cx="134302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rPr>
            <a:t>       PIVOT</a:t>
          </a: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4</xdr:col>
      <xdr:colOff>834523</xdr:colOff>
      <xdr:row>2</xdr:row>
      <xdr:rowOff>25005</xdr:rowOff>
    </xdr:from>
    <xdr:to>
      <xdr:col>5</xdr:col>
      <xdr:colOff>691648</xdr:colOff>
      <xdr:row>2</xdr:row>
      <xdr:rowOff>349005</xdr:rowOff>
    </xdr:to>
    <xdr:sp macro="" textlink="">
      <xdr:nvSpPr>
        <xdr:cNvPr id="12" name="Rectangle: Rounded Corners 11">
          <a:hlinkClick xmlns:r="http://schemas.openxmlformats.org/officeDocument/2006/relationships" r:id="rId5"/>
          <a:extLst>
            <a:ext uri="{FF2B5EF4-FFF2-40B4-BE49-F238E27FC236}">
              <a16:creationId xmlns:a16="http://schemas.microsoft.com/office/drawing/2014/main" id="{9A7E4A5B-57D2-46DE-8DED-4390B5C135A6}"/>
            </a:ext>
          </a:extLst>
        </xdr:cNvPr>
        <xdr:cNvSpPr/>
      </xdr:nvSpPr>
      <xdr:spPr>
        <a:xfrm>
          <a:off x="6778123" y="619365"/>
          <a:ext cx="134302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latin typeface="+mn-lt"/>
              <a:ea typeface="+mn-ea"/>
              <a:cs typeface="+mn-cs"/>
            </a:rPr>
            <a:t> MASTER DATA</a:t>
          </a: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6</xdr:col>
      <xdr:colOff>786764</xdr:colOff>
      <xdr:row>2</xdr:row>
      <xdr:rowOff>19050</xdr:rowOff>
    </xdr:from>
    <xdr:to>
      <xdr:col>7</xdr:col>
      <xdr:colOff>643889</xdr:colOff>
      <xdr:row>2</xdr:row>
      <xdr:rowOff>343050</xdr:rowOff>
    </xdr:to>
    <xdr:sp macro="" textlink="">
      <xdr:nvSpPr>
        <xdr:cNvPr id="13" name="Rectangle: Rounded Corners 12">
          <a:hlinkClick xmlns:r="http://schemas.openxmlformats.org/officeDocument/2006/relationships" r:id="rId6"/>
          <a:extLst>
            <a:ext uri="{FF2B5EF4-FFF2-40B4-BE49-F238E27FC236}">
              <a16:creationId xmlns:a16="http://schemas.microsoft.com/office/drawing/2014/main" id="{9D4B8049-85F2-4FC3-8180-88A7CCB90300}"/>
            </a:ext>
          </a:extLst>
        </xdr:cNvPr>
        <xdr:cNvSpPr/>
      </xdr:nvSpPr>
      <xdr:spPr>
        <a:xfrm>
          <a:off x="9702164" y="613410"/>
          <a:ext cx="134302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 CALCULATION</a:t>
          </a:r>
          <a:endPar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1320044</xdr:colOff>
      <xdr:row>11</xdr:row>
      <xdr:rowOff>9896</xdr:rowOff>
    </xdr:from>
    <xdr:to>
      <xdr:col>3</xdr:col>
      <xdr:colOff>1311303</xdr:colOff>
      <xdr:row>15</xdr:row>
      <xdr:rowOff>0</xdr:rowOff>
    </xdr:to>
    <xdr:sp macro="" textlink="">
      <xdr:nvSpPr>
        <xdr:cNvPr id="13" name="srinu g">
          <a:extLst>
            <a:ext uri="{FF2B5EF4-FFF2-40B4-BE49-F238E27FC236}">
              <a16:creationId xmlns:a16="http://schemas.microsoft.com/office/drawing/2014/main" id="{7CC7CB43-7B5A-4DBB-BDCA-90E12B406F7E}"/>
            </a:ext>
          </a:extLst>
        </xdr:cNvPr>
        <xdr:cNvSpPr/>
      </xdr:nvSpPr>
      <xdr:spPr>
        <a:xfrm>
          <a:off x="1320044" y="4140738"/>
          <a:ext cx="4021838" cy="782913"/>
        </a:xfrm>
        <a:prstGeom prst="roundRect">
          <a:avLst/>
        </a:prstGeom>
        <a:solidFill>
          <a:srgbClr val="1E222D"/>
        </a:solidFill>
        <a:ln w="57150">
          <a:solidFill>
            <a:schemeClr val="accent1">
              <a:lumMod val="60000"/>
              <a:lumOff val="40000"/>
            </a:schemeClr>
          </a:solidFill>
        </a:ln>
        <a:effectLst>
          <a:glow rad="101600">
            <a:schemeClr val="accent5">
              <a:satMod val="175000"/>
              <a:alpha val="40000"/>
            </a:schemeClr>
          </a:glow>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r>
            <a:rPr lang="en-IN" sz="1000" b="1" cap="none" spc="0">
              <a:ln w="10160">
                <a:solidFill>
                  <a:schemeClr val="accent1"/>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TOTAL STUDENTS</a:t>
          </a:r>
        </a:p>
      </xdr:txBody>
    </xdr:sp>
    <xdr:clientData/>
  </xdr:twoCellAnchor>
  <xdr:twoCellAnchor>
    <xdr:from>
      <xdr:col>1</xdr:col>
      <xdr:colOff>0</xdr:colOff>
      <xdr:row>26</xdr:row>
      <xdr:rowOff>13607</xdr:rowOff>
    </xdr:from>
    <xdr:to>
      <xdr:col>6</xdr:col>
      <xdr:colOff>1491342</xdr:colOff>
      <xdr:row>37</xdr:row>
      <xdr:rowOff>312963</xdr:rowOff>
    </xdr:to>
    <xdr:graphicFrame macro="">
      <xdr:nvGraphicFramePr>
        <xdr:cNvPr id="2" name="Chart 1">
          <a:extLst>
            <a:ext uri="{FF2B5EF4-FFF2-40B4-BE49-F238E27FC236}">
              <a16:creationId xmlns:a16="http://schemas.microsoft.com/office/drawing/2014/main" id="{295A80B2-3518-4DEB-A932-E0EE173525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13607</xdr:colOff>
      <xdr:row>26</xdr:row>
      <xdr:rowOff>13609</xdr:rowOff>
    </xdr:from>
    <xdr:to>
      <xdr:col>13</xdr:col>
      <xdr:colOff>0</xdr:colOff>
      <xdr:row>38</xdr:row>
      <xdr:rowOff>0</xdr:rowOff>
    </xdr:to>
    <xdr:graphicFrame macro="">
      <xdr:nvGraphicFramePr>
        <xdr:cNvPr id="3" name="Chart 2">
          <a:extLst>
            <a:ext uri="{FF2B5EF4-FFF2-40B4-BE49-F238E27FC236}">
              <a16:creationId xmlns:a16="http://schemas.microsoft.com/office/drawing/2014/main" id="{DCAD2FB5-FE22-46BF-B97F-4BDD7E0108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37</xdr:row>
      <xdr:rowOff>299357</xdr:rowOff>
    </xdr:from>
    <xdr:to>
      <xdr:col>6</xdr:col>
      <xdr:colOff>1360713</xdr:colOff>
      <xdr:row>50</xdr:row>
      <xdr:rowOff>0</xdr:rowOff>
    </xdr:to>
    <xdr:graphicFrame macro="">
      <xdr:nvGraphicFramePr>
        <xdr:cNvPr id="4" name="Chart 3">
          <a:extLst>
            <a:ext uri="{FF2B5EF4-FFF2-40B4-BE49-F238E27FC236}">
              <a16:creationId xmlns:a16="http://schemas.microsoft.com/office/drawing/2014/main" id="{2725BCDD-1DE2-45A2-942D-22D171B2A5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1366237</xdr:colOff>
      <xdr:row>38</xdr:row>
      <xdr:rowOff>1388</xdr:rowOff>
    </xdr:from>
    <xdr:to>
      <xdr:col>13</xdr:col>
      <xdr:colOff>0</xdr:colOff>
      <xdr:row>50</xdr:row>
      <xdr:rowOff>0</xdr:rowOff>
    </xdr:to>
    <xdr:graphicFrame macro="">
      <xdr:nvGraphicFramePr>
        <xdr:cNvPr id="5" name="Chart 4">
          <a:extLst>
            <a:ext uri="{FF2B5EF4-FFF2-40B4-BE49-F238E27FC236}">
              <a16:creationId xmlns:a16="http://schemas.microsoft.com/office/drawing/2014/main" id="{AE7F8745-8469-456C-BD49-829A89B6D5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49</xdr:row>
      <xdr:rowOff>293156</xdr:rowOff>
    </xdr:from>
    <xdr:to>
      <xdr:col>7</xdr:col>
      <xdr:colOff>0</xdr:colOff>
      <xdr:row>62</xdr:row>
      <xdr:rowOff>0</xdr:rowOff>
    </xdr:to>
    <xdr:graphicFrame macro="">
      <xdr:nvGraphicFramePr>
        <xdr:cNvPr id="6" name="Chart 5">
          <a:extLst>
            <a:ext uri="{FF2B5EF4-FFF2-40B4-BE49-F238E27FC236}">
              <a16:creationId xmlns:a16="http://schemas.microsoft.com/office/drawing/2014/main" id="{98921831-2AB2-4820-9707-242BF7A70D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49</xdr:row>
      <xdr:rowOff>259080</xdr:rowOff>
    </xdr:from>
    <xdr:to>
      <xdr:col>13</xdr:col>
      <xdr:colOff>0</xdr:colOff>
      <xdr:row>62</xdr:row>
      <xdr:rowOff>0</xdr:rowOff>
    </xdr:to>
    <xdr:graphicFrame macro="">
      <xdr:nvGraphicFramePr>
        <xdr:cNvPr id="7" name="Chart 6">
          <a:extLst>
            <a:ext uri="{FF2B5EF4-FFF2-40B4-BE49-F238E27FC236}">
              <a16:creationId xmlns:a16="http://schemas.microsoft.com/office/drawing/2014/main" id="{4478C258-46EA-4E34-9ACA-6DDD161D9F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61</xdr:row>
      <xdr:rowOff>309155</xdr:rowOff>
    </xdr:from>
    <xdr:to>
      <xdr:col>7</xdr:col>
      <xdr:colOff>0</xdr:colOff>
      <xdr:row>74</xdr:row>
      <xdr:rowOff>0</xdr:rowOff>
    </xdr:to>
    <xdr:graphicFrame macro="">
      <xdr:nvGraphicFramePr>
        <xdr:cNvPr id="8" name="Chart 7">
          <a:extLst>
            <a:ext uri="{FF2B5EF4-FFF2-40B4-BE49-F238E27FC236}">
              <a16:creationId xmlns:a16="http://schemas.microsoft.com/office/drawing/2014/main" id="{D326F10D-1B76-4169-88B3-91CDA3B0E9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1</xdr:colOff>
      <xdr:row>62</xdr:row>
      <xdr:rowOff>1</xdr:rowOff>
    </xdr:from>
    <xdr:to>
      <xdr:col>13</xdr:col>
      <xdr:colOff>0</xdr:colOff>
      <xdr:row>68</xdr:row>
      <xdr:rowOff>0</xdr:rowOff>
    </xdr:to>
    <xdr:graphicFrame macro="">
      <xdr:nvGraphicFramePr>
        <xdr:cNvPr id="14" name="Chart 13">
          <a:extLst>
            <a:ext uri="{FF2B5EF4-FFF2-40B4-BE49-F238E27FC236}">
              <a16:creationId xmlns:a16="http://schemas.microsoft.com/office/drawing/2014/main" id="{9AA1A7C8-B7D6-4598-86C4-5E70C87BE0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74</xdr:row>
      <xdr:rowOff>0</xdr:rowOff>
    </xdr:from>
    <xdr:to>
      <xdr:col>7</xdr:col>
      <xdr:colOff>0</xdr:colOff>
      <xdr:row>86</xdr:row>
      <xdr:rowOff>15240</xdr:rowOff>
    </xdr:to>
    <xdr:graphicFrame macro="">
      <xdr:nvGraphicFramePr>
        <xdr:cNvPr id="16" name="Chart 15">
          <a:extLst>
            <a:ext uri="{FF2B5EF4-FFF2-40B4-BE49-F238E27FC236}">
              <a16:creationId xmlns:a16="http://schemas.microsoft.com/office/drawing/2014/main" id="{03EC0625-B940-4FD7-BED6-1E64939A3D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526</xdr:colOff>
      <xdr:row>68</xdr:row>
      <xdr:rowOff>0</xdr:rowOff>
    </xdr:from>
    <xdr:to>
      <xdr:col>13</xdr:col>
      <xdr:colOff>0</xdr:colOff>
      <xdr:row>74</xdr:row>
      <xdr:rowOff>0</xdr:rowOff>
    </xdr:to>
    <xdr:graphicFrame macro="">
      <xdr:nvGraphicFramePr>
        <xdr:cNvPr id="15" name="Chart 14">
          <a:extLst>
            <a:ext uri="{FF2B5EF4-FFF2-40B4-BE49-F238E27FC236}">
              <a16:creationId xmlns:a16="http://schemas.microsoft.com/office/drawing/2014/main" id="{174D24D9-30BB-42D0-9A0E-93370D1A0A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74</xdr:row>
      <xdr:rowOff>0</xdr:rowOff>
    </xdr:from>
    <xdr:to>
      <xdr:col>13</xdr:col>
      <xdr:colOff>15240</xdr:colOff>
      <xdr:row>86</xdr:row>
      <xdr:rowOff>30480</xdr:rowOff>
    </xdr:to>
    <xdr:graphicFrame macro="">
      <xdr:nvGraphicFramePr>
        <xdr:cNvPr id="17" name="Chart 16">
          <a:extLst>
            <a:ext uri="{FF2B5EF4-FFF2-40B4-BE49-F238E27FC236}">
              <a16:creationId xmlns:a16="http://schemas.microsoft.com/office/drawing/2014/main" id="{993D56D2-06AB-4F28-9D1E-6CD3FCBC1D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86</xdr:row>
      <xdr:rowOff>0</xdr:rowOff>
    </xdr:from>
    <xdr:to>
      <xdr:col>7</xdr:col>
      <xdr:colOff>0</xdr:colOff>
      <xdr:row>97</xdr:row>
      <xdr:rowOff>18143</xdr:rowOff>
    </xdr:to>
    <xdr:graphicFrame macro="">
      <xdr:nvGraphicFramePr>
        <xdr:cNvPr id="9" name="Chart 8">
          <a:extLst>
            <a:ext uri="{FF2B5EF4-FFF2-40B4-BE49-F238E27FC236}">
              <a16:creationId xmlns:a16="http://schemas.microsoft.com/office/drawing/2014/main" id="{CA5AE64D-815D-449B-A74D-9264E52D49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1386</xdr:colOff>
      <xdr:row>86</xdr:row>
      <xdr:rowOff>32905</xdr:rowOff>
    </xdr:from>
    <xdr:to>
      <xdr:col>13</xdr:col>
      <xdr:colOff>0</xdr:colOff>
      <xdr:row>97</xdr:row>
      <xdr:rowOff>0</xdr:rowOff>
    </xdr:to>
    <xdr:graphicFrame macro="">
      <xdr:nvGraphicFramePr>
        <xdr:cNvPr id="11" name="Chart 10">
          <a:extLst>
            <a:ext uri="{FF2B5EF4-FFF2-40B4-BE49-F238E27FC236}">
              <a16:creationId xmlns:a16="http://schemas.microsoft.com/office/drawing/2014/main" id="{1995E6FA-0315-4805-A1C0-7D683E3B4F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361692</xdr:colOff>
      <xdr:row>4</xdr:row>
      <xdr:rowOff>36351</xdr:rowOff>
    </xdr:from>
    <xdr:to>
      <xdr:col>1</xdr:col>
      <xdr:colOff>383864</xdr:colOff>
      <xdr:row>4</xdr:row>
      <xdr:rowOff>440509</xdr:rowOff>
    </xdr:to>
    <xdr:sp macro="" textlink="">
      <xdr:nvSpPr>
        <xdr:cNvPr id="10" name="Rectangle: Rounded Corners 9">
          <a:hlinkClick xmlns:r="http://schemas.openxmlformats.org/officeDocument/2006/relationships" r:id="rId14"/>
          <a:extLst>
            <a:ext uri="{FF2B5EF4-FFF2-40B4-BE49-F238E27FC236}">
              <a16:creationId xmlns:a16="http://schemas.microsoft.com/office/drawing/2014/main" id="{073EF10A-82CF-43AC-9542-3C4017055F00}"/>
            </a:ext>
          </a:extLst>
        </xdr:cNvPr>
        <xdr:cNvSpPr/>
      </xdr:nvSpPr>
      <xdr:spPr>
        <a:xfrm>
          <a:off x="361692" y="1386180"/>
          <a:ext cx="1361115" cy="404158"/>
        </a:xfrm>
        <a:prstGeom prst="roundRect">
          <a:avLst/>
        </a:prstGeom>
        <a:solidFill>
          <a:srgbClr val="00E5FF"/>
        </a:solidFill>
        <a:ln w="38100">
          <a:solidFill>
            <a:sysClr val="windowText" lastClr="000000"/>
          </a:solidFill>
        </a:ln>
        <a:effectLst>
          <a:glow rad="228600">
            <a:schemeClr val="accent5">
              <a:satMod val="175000"/>
              <a:alpha val="40000"/>
            </a:schemeClr>
          </a:glow>
          <a:outerShdw blurRad="50800" dist="38100" dir="2700000" algn="tl" rotWithShape="0">
            <a:prstClr val="black">
              <a:alpha val="40000"/>
            </a:prstClr>
          </a:outerShdw>
        </a:effectLst>
        <a:scene3d>
          <a:camera prst="orthographicFront">
            <a:rot lat="0" lon="0" rev="0"/>
          </a:camera>
          <a:lightRig rig="balanced" dir="t">
            <a:rot lat="0" lon="0" rev="11400000"/>
          </a:lightRig>
        </a:scene3d>
        <a:sp3d>
          <a:bevelT w="215900" h="44450"/>
          <a:bevelB w="12700" h="88900"/>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l"/>
          <a:r>
            <a:rPr lang="en-IN" sz="1400" b="1" cap="none" spc="0">
              <a:ln w="10160">
                <a:solidFill>
                  <a:schemeClr val="accent5"/>
                </a:solidFill>
                <a:prstDash val="solid"/>
              </a:ln>
              <a:solidFill>
                <a:srgbClr val="000000"/>
              </a:solidFill>
              <a:effectLst>
                <a:outerShdw blurRad="38100" dist="22860" dir="5400000" algn="tl" rotWithShape="0">
                  <a:srgbClr val="000000">
                    <a:alpha val="30000"/>
                  </a:srgbClr>
                </a:outerShdw>
              </a:effectLst>
            </a:rPr>
            <a:t>       HOME</a:t>
          </a:r>
        </a:p>
        <a:p>
          <a:pPr algn="l"/>
          <a:endParaRPr lang="en-IN" sz="1400" b="1" cap="none" spc="0" baseline="0">
            <a:ln w="10160">
              <a:solidFill>
                <a:schemeClr val="accent5"/>
              </a:solidFill>
              <a:prstDash val="solid"/>
            </a:ln>
            <a:solidFill>
              <a:srgbClr val="000000"/>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2</xdr:col>
      <xdr:colOff>501270</xdr:colOff>
      <xdr:row>4</xdr:row>
      <xdr:rowOff>41334</xdr:rowOff>
    </xdr:from>
    <xdr:to>
      <xdr:col>3</xdr:col>
      <xdr:colOff>521000</xdr:colOff>
      <xdr:row>4</xdr:row>
      <xdr:rowOff>447471</xdr:rowOff>
    </xdr:to>
    <xdr:sp macro="[0]!Sheet3.RAW_DATA_Click" textlink="">
      <xdr:nvSpPr>
        <xdr:cNvPr id="24" name="Rectangle: Rounded Corners 23">
          <a:hlinkClick xmlns:r="http://schemas.openxmlformats.org/officeDocument/2006/relationships" r:id="rId15"/>
          <a:extLst>
            <a:ext uri="{FF2B5EF4-FFF2-40B4-BE49-F238E27FC236}">
              <a16:creationId xmlns:a16="http://schemas.microsoft.com/office/drawing/2014/main" id="{4C31BF12-EB3B-41FD-BF50-F6DE18FCDDAB}"/>
            </a:ext>
          </a:extLst>
        </xdr:cNvPr>
        <xdr:cNvSpPr/>
      </xdr:nvSpPr>
      <xdr:spPr>
        <a:xfrm>
          <a:off x="3179156" y="1391163"/>
          <a:ext cx="1358673" cy="406137"/>
        </a:xfrm>
        <a:prstGeom prst="roundRect">
          <a:avLst/>
        </a:prstGeom>
        <a:solidFill>
          <a:srgbClr val="2A2D3A"/>
        </a:solidFill>
        <a:ln w="38100">
          <a:solidFill>
            <a:schemeClr val="accent1"/>
          </a:solidFill>
        </a:ln>
        <a:effectLst>
          <a:glow rad="139700">
            <a:schemeClr val="accent3">
              <a:satMod val="175000"/>
              <a:alpha val="40000"/>
            </a:schemeClr>
          </a:glow>
          <a:outerShdw blurRad="50800" dist="38100" dir="2700000" algn="tl" rotWithShape="0">
            <a:prstClr val="black">
              <a:alpha val="40000"/>
            </a:prstClr>
          </a:outerShdw>
        </a:effectLst>
        <a:scene3d>
          <a:camera prst="orthographicFront">
            <a:rot lat="0" lon="0" rev="0"/>
          </a:camera>
          <a:lightRig rig="balanced" dir="t">
            <a:rot lat="0" lon="0" rev="11400000"/>
          </a:lightRig>
        </a:scene3d>
        <a:sp3d>
          <a:bevelT w="215900" h="44450"/>
          <a:bevelB w="12700" h="88900"/>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l"/>
          <a:r>
            <a:rPr lang="en-IN"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   RAW</a:t>
          </a:r>
          <a:r>
            <a:rPr lang="en-IN" sz="14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DATA</a:t>
          </a:r>
          <a:endParaRPr lang="en-IN"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l"/>
          <a:endParaRPr lang="en-IN"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l"/>
          <a:endParaRPr lang="en-IN" sz="14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twoCellAnchor>
  <xdr:twoCellAnchor>
    <xdr:from>
      <xdr:col>8</xdr:col>
      <xdr:colOff>1028413</xdr:colOff>
      <xdr:row>4</xdr:row>
      <xdr:rowOff>24783</xdr:rowOff>
    </xdr:from>
    <xdr:to>
      <xdr:col>9</xdr:col>
      <xdr:colOff>1048144</xdr:colOff>
      <xdr:row>4</xdr:row>
      <xdr:rowOff>436510</xdr:rowOff>
    </xdr:to>
    <xdr:sp macro="[0]!Sheet3.REPORTS_Click" textlink="">
      <xdr:nvSpPr>
        <xdr:cNvPr id="26" name="Rectangle: Rounded Corners 25">
          <a:hlinkClick xmlns:r="http://schemas.openxmlformats.org/officeDocument/2006/relationships" r:id="rId16"/>
          <a:extLst>
            <a:ext uri="{FF2B5EF4-FFF2-40B4-BE49-F238E27FC236}">
              <a16:creationId xmlns:a16="http://schemas.microsoft.com/office/drawing/2014/main" id="{7832BFE7-D8CC-4679-ABAB-1C11F510E4B7}"/>
            </a:ext>
          </a:extLst>
        </xdr:cNvPr>
        <xdr:cNvSpPr/>
      </xdr:nvSpPr>
      <xdr:spPr>
        <a:xfrm>
          <a:off x="11739956" y="1374612"/>
          <a:ext cx="1358674" cy="411727"/>
        </a:xfrm>
        <a:prstGeom prst="roundRect">
          <a:avLst/>
        </a:prstGeom>
        <a:solidFill>
          <a:srgbClr val="2A2D3A"/>
        </a:solidFill>
        <a:ln w="38100">
          <a:solidFill>
            <a:schemeClr val="accent1"/>
          </a:solidFill>
        </a:ln>
        <a:effectLst>
          <a:glow rad="139700">
            <a:schemeClr val="accent3">
              <a:satMod val="175000"/>
              <a:alpha val="40000"/>
            </a:schemeClr>
          </a:glow>
          <a:outerShdw blurRad="50800" dist="38100" dir="2700000" algn="tl" rotWithShape="0">
            <a:prstClr val="black">
              <a:alpha val="40000"/>
            </a:prstClr>
          </a:outerShdw>
        </a:effectLst>
        <a:scene3d>
          <a:camera prst="orthographicFront">
            <a:rot lat="0" lon="0" rev="0"/>
          </a:camera>
          <a:lightRig rig="balanced" dir="t">
            <a:rot lat="0" lon="0" rev="11400000"/>
          </a:lightRig>
        </a:scene3d>
        <a:sp3d>
          <a:bevelT w="215900" h="44450"/>
          <a:bevelB w="12700" h="88900"/>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l"/>
          <a:r>
            <a:rPr lang="en-IN"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     REPORTS</a:t>
          </a:r>
        </a:p>
        <a:p>
          <a:pPr marL="0" indent="0" algn="l"/>
          <a:endParaRPr lang="en-IN"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endParaRPr>
        </a:p>
      </xdr:txBody>
    </xdr:sp>
    <xdr:clientData/>
  </xdr:twoCellAnchor>
  <xdr:twoCellAnchor>
    <xdr:from>
      <xdr:col>6</xdr:col>
      <xdr:colOff>820727</xdr:colOff>
      <xdr:row>4</xdr:row>
      <xdr:rowOff>38917</xdr:rowOff>
    </xdr:from>
    <xdr:to>
      <xdr:col>7</xdr:col>
      <xdr:colOff>840457</xdr:colOff>
      <xdr:row>4</xdr:row>
      <xdr:rowOff>450644</xdr:rowOff>
    </xdr:to>
    <xdr:sp macro="[0]!Sheet3.PIVOT_Click" textlink="">
      <xdr:nvSpPr>
        <xdr:cNvPr id="27" name="Rectangle: Rounded Corners 26">
          <a:hlinkClick xmlns:r="http://schemas.openxmlformats.org/officeDocument/2006/relationships" r:id="rId17"/>
          <a:extLst>
            <a:ext uri="{FF2B5EF4-FFF2-40B4-BE49-F238E27FC236}">
              <a16:creationId xmlns:a16="http://schemas.microsoft.com/office/drawing/2014/main" id="{D6C5CEF8-7176-4CC8-857D-12C0021CB674}"/>
            </a:ext>
          </a:extLst>
        </xdr:cNvPr>
        <xdr:cNvSpPr/>
      </xdr:nvSpPr>
      <xdr:spPr>
        <a:xfrm>
          <a:off x="8854384" y="1388746"/>
          <a:ext cx="1358673" cy="411727"/>
        </a:xfrm>
        <a:prstGeom prst="roundRect">
          <a:avLst/>
        </a:prstGeom>
        <a:solidFill>
          <a:srgbClr val="2A2D3A"/>
        </a:solidFill>
        <a:ln w="38100">
          <a:solidFill>
            <a:schemeClr val="accent1"/>
          </a:solidFill>
        </a:ln>
        <a:effectLst>
          <a:glow rad="139700">
            <a:schemeClr val="accent3">
              <a:satMod val="175000"/>
              <a:alpha val="40000"/>
            </a:schemeClr>
          </a:glow>
          <a:outerShdw blurRad="50800" dist="38100" dir="2700000" algn="tl" rotWithShape="0">
            <a:prstClr val="black">
              <a:alpha val="40000"/>
            </a:prstClr>
          </a:outerShdw>
        </a:effectLst>
        <a:scene3d>
          <a:camera prst="orthographicFront">
            <a:rot lat="0" lon="0" rev="0"/>
          </a:camera>
          <a:lightRig rig="balanced" dir="t">
            <a:rot lat="0" lon="0" rev="11400000"/>
          </a:lightRig>
        </a:scene3d>
        <a:sp3d>
          <a:bevelT w="215900" h="44450"/>
          <a:bevelB w="12700" h="88900"/>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l"/>
          <a:r>
            <a:rPr lang="en-IN"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        PIVOT </a:t>
          </a:r>
        </a:p>
        <a:p>
          <a:pPr marL="0" indent="0" algn="l"/>
          <a:endParaRPr lang="en-IN"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endParaRPr>
        </a:p>
      </xdr:txBody>
    </xdr:sp>
    <xdr:clientData/>
  </xdr:twoCellAnchor>
  <xdr:twoCellAnchor>
    <xdr:from>
      <xdr:col>4</xdr:col>
      <xdr:colOff>698843</xdr:colOff>
      <xdr:row>4</xdr:row>
      <xdr:rowOff>36438</xdr:rowOff>
    </xdr:from>
    <xdr:to>
      <xdr:col>5</xdr:col>
      <xdr:colOff>718574</xdr:colOff>
      <xdr:row>4</xdr:row>
      <xdr:rowOff>448165</xdr:rowOff>
    </xdr:to>
    <xdr:sp macro="[0]!Sheet3.CALCULATION_Click" textlink="">
      <xdr:nvSpPr>
        <xdr:cNvPr id="28" name="Rectangle: Rounded Corners 27">
          <a:hlinkClick xmlns:r="http://schemas.openxmlformats.org/officeDocument/2006/relationships" r:id="rId18"/>
          <a:extLst>
            <a:ext uri="{FF2B5EF4-FFF2-40B4-BE49-F238E27FC236}">
              <a16:creationId xmlns:a16="http://schemas.microsoft.com/office/drawing/2014/main" id="{7F3BE87B-6ADB-4A40-8606-81F81B4377EB}"/>
            </a:ext>
          </a:extLst>
        </xdr:cNvPr>
        <xdr:cNvSpPr/>
      </xdr:nvSpPr>
      <xdr:spPr>
        <a:xfrm>
          <a:off x="6054614" y="1386267"/>
          <a:ext cx="1358674" cy="411727"/>
        </a:xfrm>
        <a:prstGeom prst="roundRect">
          <a:avLst/>
        </a:prstGeom>
        <a:solidFill>
          <a:srgbClr val="2A2D3A"/>
        </a:solidFill>
        <a:ln w="38100">
          <a:solidFill>
            <a:schemeClr val="accent1"/>
          </a:solidFill>
        </a:ln>
        <a:effectLst>
          <a:glow rad="139700">
            <a:schemeClr val="accent3">
              <a:satMod val="175000"/>
              <a:alpha val="40000"/>
            </a:schemeClr>
          </a:glow>
          <a:outerShdw blurRad="50800" dist="38100" dir="2700000" algn="tl" rotWithShape="0">
            <a:prstClr val="black">
              <a:alpha val="40000"/>
            </a:prstClr>
          </a:outerShdw>
        </a:effectLst>
        <a:scene3d>
          <a:camera prst="orthographicFront">
            <a:rot lat="0" lon="0" rev="0"/>
          </a:camera>
          <a:lightRig rig="balanced" dir="t">
            <a:rot lat="0" lon="0" rev="11400000"/>
          </a:lightRig>
        </a:scene3d>
        <a:sp3d>
          <a:bevelT w="215900" h="44450"/>
          <a:bevelB w="12700" h="88900"/>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indent="0" algn="l"/>
          <a:r>
            <a:rPr lang="en-IN"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CALCULATION</a:t>
          </a:r>
        </a:p>
        <a:p>
          <a:pPr marL="0" indent="0" algn="l"/>
          <a:endParaRPr lang="en-IN"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endParaRPr>
        </a:p>
      </xdr:txBody>
    </xdr:sp>
    <xdr:clientData/>
  </xdr:twoCellAnchor>
  <xdr:twoCellAnchor>
    <xdr:from>
      <xdr:col>12</xdr:col>
      <xdr:colOff>559443</xdr:colOff>
      <xdr:row>97</xdr:row>
      <xdr:rowOff>57873</xdr:rowOff>
    </xdr:from>
    <xdr:to>
      <xdr:col>12</xdr:col>
      <xdr:colOff>1282861</xdr:colOff>
      <xdr:row>98</xdr:row>
      <xdr:rowOff>231494</xdr:rowOff>
    </xdr:to>
    <xdr:sp macro="[0]!ScrollToTop" textlink="">
      <xdr:nvSpPr>
        <xdr:cNvPr id="12" name="Arrow: Up 11">
          <a:extLst>
            <a:ext uri="{FF2B5EF4-FFF2-40B4-BE49-F238E27FC236}">
              <a16:creationId xmlns:a16="http://schemas.microsoft.com/office/drawing/2014/main" id="{F80250B6-3E53-4C4A-85E2-559D3FFBF466}"/>
            </a:ext>
          </a:extLst>
        </xdr:cNvPr>
        <xdr:cNvSpPr/>
      </xdr:nvSpPr>
      <xdr:spPr>
        <a:xfrm>
          <a:off x="16899038" y="25387139"/>
          <a:ext cx="723418" cy="482279"/>
        </a:xfrm>
        <a:prstGeom prst="upArrow">
          <a:avLst/>
        </a:prstGeom>
        <a:solidFill>
          <a:srgbClr val="00E5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41833</xdr:colOff>
      <xdr:row>11</xdr:row>
      <xdr:rowOff>22303</xdr:rowOff>
    </xdr:from>
    <xdr:to>
      <xdr:col>7</xdr:col>
      <xdr:colOff>9175</xdr:colOff>
      <xdr:row>15</xdr:row>
      <xdr:rowOff>0</xdr:rowOff>
    </xdr:to>
    <xdr:sp macro="" textlink="">
      <xdr:nvSpPr>
        <xdr:cNvPr id="25" name="Rectangle: Rounded Corners 24">
          <a:extLst>
            <a:ext uri="{FF2B5EF4-FFF2-40B4-BE49-F238E27FC236}">
              <a16:creationId xmlns:a16="http://schemas.microsoft.com/office/drawing/2014/main" id="{37F2BDBE-B7D1-4450-8BF1-1C77E8CB5079}"/>
            </a:ext>
          </a:extLst>
        </xdr:cNvPr>
        <xdr:cNvSpPr/>
      </xdr:nvSpPr>
      <xdr:spPr>
        <a:xfrm>
          <a:off x="5415938" y="4153145"/>
          <a:ext cx="3997921" cy="777965"/>
        </a:xfrm>
        <a:prstGeom prst="roundRect">
          <a:avLst/>
        </a:prstGeom>
        <a:solidFill>
          <a:srgbClr val="1E222D"/>
        </a:solidFill>
        <a:ln w="57150">
          <a:solidFill>
            <a:schemeClr val="accent1">
              <a:lumMod val="60000"/>
              <a:lumOff val="40000"/>
            </a:schemeClr>
          </a:solidFill>
        </a:ln>
        <a:effectLst>
          <a:glow rad="101600">
            <a:schemeClr val="accent5">
              <a:satMod val="175000"/>
              <a:alpha val="40000"/>
            </a:schemeClr>
          </a:glow>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r>
            <a:rPr lang="en-IN" sz="1000" b="1" cap="none" spc="0">
              <a:ln w="10160">
                <a:solidFill>
                  <a:schemeClr val="accent1"/>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TOTAL STUDY HOURS</a:t>
          </a:r>
        </a:p>
      </xdr:txBody>
    </xdr:sp>
    <xdr:clientData/>
  </xdr:twoCellAnchor>
  <xdr:twoCellAnchor>
    <xdr:from>
      <xdr:col>7</xdr:col>
      <xdr:colOff>85107</xdr:colOff>
      <xdr:row>11</xdr:row>
      <xdr:rowOff>10885</xdr:rowOff>
    </xdr:from>
    <xdr:to>
      <xdr:col>10</xdr:col>
      <xdr:colOff>52448</xdr:colOff>
      <xdr:row>15</xdr:row>
      <xdr:rowOff>0</xdr:rowOff>
    </xdr:to>
    <xdr:sp macro="" textlink="">
      <xdr:nvSpPr>
        <xdr:cNvPr id="29" name="Rectangle: Rounded Corners 28">
          <a:extLst>
            <a:ext uri="{FF2B5EF4-FFF2-40B4-BE49-F238E27FC236}">
              <a16:creationId xmlns:a16="http://schemas.microsoft.com/office/drawing/2014/main" id="{C47DE7AF-945D-4258-B8DB-7161FFEFC3AF}"/>
            </a:ext>
          </a:extLst>
        </xdr:cNvPr>
        <xdr:cNvSpPr/>
      </xdr:nvSpPr>
      <xdr:spPr>
        <a:xfrm>
          <a:off x="8991601" y="1742703"/>
          <a:ext cx="4420587" cy="604653"/>
        </a:xfrm>
        <a:prstGeom prst="roundRect">
          <a:avLst/>
        </a:prstGeom>
        <a:solidFill>
          <a:srgbClr val="1E222D"/>
        </a:solidFill>
        <a:ln w="57150">
          <a:solidFill>
            <a:schemeClr val="accent1">
              <a:lumMod val="60000"/>
              <a:lumOff val="40000"/>
            </a:schemeClr>
          </a:solidFill>
        </a:ln>
        <a:effectLst>
          <a:glow rad="101600">
            <a:schemeClr val="accent5">
              <a:satMod val="175000"/>
              <a:alpha val="40000"/>
            </a:schemeClr>
          </a:glow>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r>
            <a:rPr lang="en-IN" sz="1000" b="1" cap="none" spc="0">
              <a:ln w="10160">
                <a:solidFill>
                  <a:schemeClr val="accent1"/>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AVERAGE SCORE</a:t>
          </a:r>
        </a:p>
      </xdr:txBody>
    </xdr:sp>
    <xdr:clientData/>
  </xdr:twoCellAnchor>
  <xdr:twoCellAnchor>
    <xdr:from>
      <xdr:col>10</xdr:col>
      <xdr:colOff>125881</xdr:colOff>
      <xdr:row>11</xdr:row>
      <xdr:rowOff>1</xdr:rowOff>
    </xdr:from>
    <xdr:to>
      <xdr:col>13</xdr:col>
      <xdr:colOff>6998</xdr:colOff>
      <xdr:row>15</xdr:row>
      <xdr:rowOff>1</xdr:rowOff>
    </xdr:to>
    <xdr:sp macro="" textlink="">
      <xdr:nvSpPr>
        <xdr:cNvPr id="30" name="Rectangle: Rounded Corners 29">
          <a:extLst>
            <a:ext uri="{FF2B5EF4-FFF2-40B4-BE49-F238E27FC236}">
              <a16:creationId xmlns:a16="http://schemas.microsoft.com/office/drawing/2014/main" id="{7995C630-7300-475F-8D01-7FB3D4CCCA25}"/>
            </a:ext>
          </a:extLst>
        </xdr:cNvPr>
        <xdr:cNvSpPr/>
      </xdr:nvSpPr>
      <xdr:spPr>
        <a:xfrm>
          <a:off x="13537081" y="4122421"/>
          <a:ext cx="3942577" cy="762000"/>
        </a:xfrm>
        <a:prstGeom prst="roundRect">
          <a:avLst/>
        </a:prstGeom>
        <a:solidFill>
          <a:srgbClr val="1E222D"/>
        </a:solidFill>
        <a:ln w="57150">
          <a:solidFill>
            <a:schemeClr val="accent1">
              <a:lumMod val="60000"/>
              <a:lumOff val="40000"/>
            </a:schemeClr>
          </a:solidFill>
        </a:ln>
        <a:effectLst>
          <a:glow rad="101600">
            <a:schemeClr val="accent5">
              <a:satMod val="175000"/>
              <a:alpha val="40000"/>
            </a:schemeClr>
          </a:glow>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r>
            <a:rPr lang="en-IN" sz="1000" b="1" cap="none" spc="0">
              <a:ln w="10160">
                <a:solidFill>
                  <a:schemeClr val="accent1"/>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AVERAGE ATTENDANCE</a:t>
          </a:r>
        </a:p>
      </xdr:txBody>
    </xdr:sp>
    <xdr:clientData/>
  </xdr:twoCellAnchor>
  <xdr:twoCellAnchor>
    <xdr:from>
      <xdr:col>2</xdr:col>
      <xdr:colOff>6926</xdr:colOff>
      <xdr:row>12</xdr:row>
      <xdr:rowOff>198157</xdr:rowOff>
    </xdr:from>
    <xdr:to>
      <xdr:col>2</xdr:col>
      <xdr:colOff>1260763</xdr:colOff>
      <xdr:row>14</xdr:row>
      <xdr:rowOff>147721</xdr:rowOff>
    </xdr:to>
    <xdr:sp macro="" textlink="AB1">
      <xdr:nvSpPr>
        <xdr:cNvPr id="20" name="Oval 19">
          <a:extLst>
            <a:ext uri="{FF2B5EF4-FFF2-40B4-BE49-F238E27FC236}">
              <a16:creationId xmlns:a16="http://schemas.microsoft.com/office/drawing/2014/main" id="{9E771BE4-32EE-4ECB-9246-CE177BBBD163}"/>
            </a:ext>
          </a:extLst>
        </xdr:cNvPr>
        <xdr:cNvSpPr/>
      </xdr:nvSpPr>
      <xdr:spPr>
        <a:xfrm>
          <a:off x="2693979" y="4499446"/>
          <a:ext cx="1253837" cy="350617"/>
        </a:xfrm>
        <a:prstGeom prst="ellipse">
          <a:avLst/>
        </a:prstGeom>
        <a:solidFill>
          <a:srgbClr val="1E222D"/>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fld id="{DD46AB9C-7A57-45E3-808B-CF3D44E5B841}" type="TxLink">
            <a:rPr lang="en-US" sz="1600" b="1">
              <a:solidFill>
                <a:srgbClr val="00FF66"/>
              </a:solidFill>
              <a:latin typeface="+mn-lt"/>
              <a:ea typeface="+mn-ea"/>
              <a:cs typeface="+mn-cs"/>
            </a:rPr>
            <a:pPr marL="0" indent="0" algn="ctr"/>
            <a:t>15</a:t>
          </a:fld>
          <a:endParaRPr lang="en-IN" sz="1600" b="1">
            <a:solidFill>
              <a:srgbClr val="00FF66"/>
            </a:solidFill>
            <a:latin typeface="+mn-lt"/>
            <a:ea typeface="+mn-ea"/>
            <a:cs typeface="+mn-cs"/>
          </a:endParaRPr>
        </a:p>
      </xdr:txBody>
    </xdr:sp>
    <xdr:clientData/>
  </xdr:twoCellAnchor>
  <xdr:twoCellAnchor>
    <xdr:from>
      <xdr:col>5</xdr:col>
      <xdr:colOff>226620</xdr:colOff>
      <xdr:row>13</xdr:row>
      <xdr:rowOff>23490</xdr:rowOff>
    </xdr:from>
    <xdr:to>
      <xdr:col>6</xdr:col>
      <xdr:colOff>0</xdr:colOff>
      <xdr:row>14</xdr:row>
      <xdr:rowOff>180473</xdr:rowOff>
    </xdr:to>
    <xdr:sp macro="" textlink="AC1">
      <xdr:nvSpPr>
        <xdr:cNvPr id="34" name="Oval 33">
          <a:extLst>
            <a:ext uri="{FF2B5EF4-FFF2-40B4-BE49-F238E27FC236}">
              <a16:creationId xmlns:a16="http://schemas.microsoft.com/office/drawing/2014/main" id="{FA236327-974B-4646-B2A5-B1B0F9EE244D}"/>
            </a:ext>
          </a:extLst>
        </xdr:cNvPr>
        <xdr:cNvSpPr/>
      </xdr:nvSpPr>
      <xdr:spPr>
        <a:xfrm>
          <a:off x="6944252" y="4525306"/>
          <a:ext cx="1116906" cy="357509"/>
        </a:xfrm>
        <a:prstGeom prst="ellipse">
          <a:avLst/>
        </a:prstGeom>
        <a:solidFill>
          <a:srgbClr val="1E222D"/>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fld id="{5B03CC6D-FB31-4635-BA2D-F4DACD53024D}" type="TxLink">
            <a:rPr lang="en-US" sz="1600" b="1">
              <a:solidFill>
                <a:srgbClr val="00FF66"/>
              </a:solidFill>
              <a:latin typeface="+mn-lt"/>
              <a:ea typeface="+mn-ea"/>
              <a:cs typeface="+mn-cs"/>
            </a:rPr>
            <a:pPr marL="0" indent="0" algn="ctr"/>
            <a:t>620.6</a:t>
          </a:fld>
          <a:endParaRPr lang="en-IN" sz="1600" b="1">
            <a:solidFill>
              <a:srgbClr val="00FF66"/>
            </a:solidFill>
            <a:latin typeface="+mn-lt"/>
            <a:ea typeface="+mn-ea"/>
            <a:cs typeface="+mn-cs"/>
          </a:endParaRPr>
        </a:p>
      </xdr:txBody>
    </xdr:sp>
    <xdr:clientData/>
  </xdr:twoCellAnchor>
  <xdr:twoCellAnchor>
    <xdr:from>
      <xdr:col>8</xdr:col>
      <xdr:colOff>174172</xdr:colOff>
      <xdr:row>13</xdr:row>
      <xdr:rowOff>209</xdr:rowOff>
    </xdr:from>
    <xdr:to>
      <xdr:col>8</xdr:col>
      <xdr:colOff>1337855</xdr:colOff>
      <xdr:row>14</xdr:row>
      <xdr:rowOff>155213</xdr:rowOff>
    </xdr:to>
    <xdr:sp macro="" textlink="AD1">
      <xdr:nvSpPr>
        <xdr:cNvPr id="36" name="Oval 35">
          <a:extLst>
            <a:ext uri="{FF2B5EF4-FFF2-40B4-BE49-F238E27FC236}">
              <a16:creationId xmlns:a16="http://schemas.microsoft.com/office/drawing/2014/main" id="{561A99F4-3EEE-48F6-A49D-D4A75AB42DFC}"/>
            </a:ext>
          </a:extLst>
        </xdr:cNvPr>
        <xdr:cNvSpPr/>
      </xdr:nvSpPr>
      <xdr:spPr>
        <a:xfrm>
          <a:off x="10922383" y="4502025"/>
          <a:ext cx="1163683" cy="355530"/>
        </a:xfrm>
        <a:prstGeom prst="ellipse">
          <a:avLst/>
        </a:prstGeom>
        <a:solidFill>
          <a:srgbClr val="1E222D"/>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fld id="{6E174278-91A2-40E4-99C3-829EE02A724F}" type="TxLink">
            <a:rPr lang="en-US" sz="1600" b="1">
              <a:solidFill>
                <a:srgbClr val="00FF66"/>
              </a:solidFill>
              <a:latin typeface="+mn-lt"/>
              <a:ea typeface="+mn-ea"/>
              <a:cs typeface="+mn-cs"/>
            </a:rPr>
            <a:pPr marL="0" indent="0" algn="ctr"/>
            <a:t>80</a:t>
          </a:fld>
          <a:endParaRPr lang="en-IN" sz="1600" b="1">
            <a:solidFill>
              <a:srgbClr val="00FF66"/>
            </a:solidFill>
            <a:latin typeface="+mn-lt"/>
            <a:ea typeface="+mn-ea"/>
            <a:cs typeface="+mn-cs"/>
          </a:endParaRPr>
        </a:p>
      </xdr:txBody>
    </xdr:sp>
    <xdr:clientData/>
  </xdr:twoCellAnchor>
  <xdr:twoCellAnchor>
    <xdr:from>
      <xdr:col>11</xdr:col>
      <xdr:colOff>216595</xdr:colOff>
      <xdr:row>13</xdr:row>
      <xdr:rowOff>13464</xdr:rowOff>
    </xdr:from>
    <xdr:to>
      <xdr:col>11</xdr:col>
      <xdr:colOff>1373606</xdr:colOff>
      <xdr:row>14</xdr:row>
      <xdr:rowOff>170447</xdr:rowOff>
    </xdr:to>
    <xdr:sp macro="" textlink="AE1">
      <xdr:nvSpPr>
        <xdr:cNvPr id="37" name="Oval 36">
          <a:extLst>
            <a:ext uri="{FF2B5EF4-FFF2-40B4-BE49-F238E27FC236}">
              <a16:creationId xmlns:a16="http://schemas.microsoft.com/office/drawing/2014/main" id="{AA8EE980-5423-43CD-8C24-CE3A1F1A85B6}"/>
            </a:ext>
          </a:extLst>
        </xdr:cNvPr>
        <xdr:cNvSpPr/>
      </xdr:nvSpPr>
      <xdr:spPr>
        <a:xfrm>
          <a:off x="14995384" y="4515280"/>
          <a:ext cx="1157011" cy="357509"/>
        </a:xfrm>
        <a:prstGeom prst="ellipse">
          <a:avLst/>
        </a:prstGeom>
        <a:solidFill>
          <a:srgbClr val="1E222D"/>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fld id="{64923840-C6F6-43A4-9A61-ACA23AA6019A}" type="TxLink">
            <a:rPr lang="en-US" sz="1600" b="1">
              <a:solidFill>
                <a:srgbClr val="00FF66"/>
              </a:solidFill>
              <a:latin typeface="+mn-lt"/>
              <a:ea typeface="+mn-ea"/>
              <a:cs typeface="+mn-cs"/>
            </a:rPr>
            <a:pPr marL="0" indent="0" algn="ctr"/>
            <a:t>90%</a:t>
          </a:fld>
          <a:endParaRPr lang="en-IN" sz="1600" b="1">
            <a:solidFill>
              <a:srgbClr val="00FF66"/>
            </a:solidFill>
            <a:latin typeface="+mn-lt"/>
            <a:ea typeface="+mn-ea"/>
            <a:cs typeface="+mn-cs"/>
          </a:endParaRPr>
        </a:p>
      </xdr:txBody>
    </xdr:sp>
    <xdr:clientData/>
  </xdr:twoCellAnchor>
  <xdr:twoCellAnchor>
    <xdr:from>
      <xdr:col>1</xdr:col>
      <xdr:colOff>30621</xdr:colOff>
      <xdr:row>16</xdr:row>
      <xdr:rowOff>43468</xdr:rowOff>
    </xdr:from>
    <xdr:to>
      <xdr:col>4</xdr:col>
      <xdr:colOff>13496</xdr:colOff>
      <xdr:row>19</xdr:row>
      <xdr:rowOff>10027</xdr:rowOff>
    </xdr:to>
    <xdr:sp macro="" textlink="">
      <xdr:nvSpPr>
        <xdr:cNvPr id="38" name="Rectangle: Rounded Corners 37">
          <a:extLst>
            <a:ext uri="{FF2B5EF4-FFF2-40B4-BE49-F238E27FC236}">
              <a16:creationId xmlns:a16="http://schemas.microsoft.com/office/drawing/2014/main" id="{1B737270-79C0-4C36-AD2F-423497993748}"/>
            </a:ext>
          </a:extLst>
        </xdr:cNvPr>
        <xdr:cNvSpPr/>
      </xdr:nvSpPr>
      <xdr:spPr>
        <a:xfrm>
          <a:off x="1374147" y="5146863"/>
          <a:ext cx="4013454" cy="748611"/>
        </a:xfrm>
        <a:prstGeom prst="roundRect">
          <a:avLst/>
        </a:prstGeom>
        <a:solidFill>
          <a:srgbClr val="1E222D"/>
        </a:solidFill>
        <a:ln w="57150">
          <a:solidFill>
            <a:srgbClr val="D500F9"/>
          </a:solidFill>
        </a:ln>
        <a:effectLst>
          <a:glow rad="1397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r>
            <a:rPr lang="en-IN" sz="1000" b="1" cap="none" spc="0">
              <a:ln w="0"/>
              <a:solidFill>
                <a:schemeClr val="accent1"/>
              </a:solidFill>
              <a:effectLst>
                <a:outerShdw blurRad="38100" dist="25400" dir="5400000" algn="ctr" rotWithShape="0">
                  <a:srgbClr val="6E747A">
                    <a:alpha val="43000"/>
                  </a:srgbClr>
                </a:outerShdw>
              </a:effectLst>
              <a:latin typeface="+mn-lt"/>
              <a:ea typeface="+mn-ea"/>
              <a:cs typeface="+mn-cs"/>
            </a:rPr>
            <a:t>ASSIGNMENT COMPLETION</a:t>
          </a:r>
        </a:p>
      </xdr:txBody>
    </xdr:sp>
    <xdr:clientData/>
  </xdr:twoCellAnchor>
  <xdr:twoCellAnchor>
    <xdr:from>
      <xdr:col>4</xdr:col>
      <xdr:colOff>60296</xdr:colOff>
      <xdr:row>16</xdr:row>
      <xdr:rowOff>20866</xdr:rowOff>
    </xdr:from>
    <xdr:to>
      <xdr:col>7</xdr:col>
      <xdr:colOff>29617</xdr:colOff>
      <xdr:row>19</xdr:row>
      <xdr:rowOff>10569</xdr:rowOff>
    </xdr:to>
    <xdr:sp macro="" textlink="">
      <xdr:nvSpPr>
        <xdr:cNvPr id="39" name="Rectangle: Rounded Corners 38">
          <a:extLst>
            <a:ext uri="{FF2B5EF4-FFF2-40B4-BE49-F238E27FC236}">
              <a16:creationId xmlns:a16="http://schemas.microsoft.com/office/drawing/2014/main" id="{79142F2C-C35F-467B-B5B4-3A3D543FC68B}"/>
            </a:ext>
          </a:extLst>
        </xdr:cNvPr>
        <xdr:cNvSpPr/>
      </xdr:nvSpPr>
      <xdr:spPr>
        <a:xfrm>
          <a:off x="5434401" y="5124261"/>
          <a:ext cx="3999900" cy="771755"/>
        </a:xfrm>
        <a:prstGeom prst="roundRect">
          <a:avLst/>
        </a:prstGeom>
        <a:solidFill>
          <a:srgbClr val="1E222D"/>
        </a:solidFill>
        <a:ln w="57150">
          <a:solidFill>
            <a:srgbClr val="D500F9"/>
          </a:solidFill>
        </a:ln>
        <a:effectLst>
          <a:glow rad="1397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r>
            <a:rPr lang="en-IN" sz="1000" b="1" cap="none" spc="0">
              <a:ln w="0"/>
              <a:solidFill>
                <a:schemeClr val="accent1"/>
              </a:solidFill>
              <a:effectLst>
                <a:outerShdw blurRad="38100" dist="25400" dir="5400000" algn="ctr" rotWithShape="0">
                  <a:srgbClr val="6E747A">
                    <a:alpha val="43000"/>
                  </a:srgbClr>
                </a:outerShdw>
              </a:effectLst>
              <a:latin typeface="+mn-lt"/>
              <a:ea typeface="+mn-ea"/>
              <a:cs typeface="+mn-cs"/>
            </a:rPr>
            <a:t>AT-RISK STUDENTS</a:t>
          </a:r>
        </a:p>
      </xdr:txBody>
    </xdr:sp>
    <xdr:clientData/>
  </xdr:twoCellAnchor>
  <xdr:twoCellAnchor>
    <xdr:from>
      <xdr:col>7</xdr:col>
      <xdr:colOff>95133</xdr:colOff>
      <xdr:row>16</xdr:row>
      <xdr:rowOff>30621</xdr:rowOff>
    </xdr:from>
    <xdr:to>
      <xdr:col>10</xdr:col>
      <xdr:colOff>64453</xdr:colOff>
      <xdr:row>19</xdr:row>
      <xdr:rowOff>20583</xdr:rowOff>
    </xdr:to>
    <xdr:sp macro="" textlink="">
      <xdr:nvSpPr>
        <xdr:cNvPr id="40" name="Rectangle: Rounded Corners 39">
          <a:extLst>
            <a:ext uri="{FF2B5EF4-FFF2-40B4-BE49-F238E27FC236}">
              <a16:creationId xmlns:a16="http://schemas.microsoft.com/office/drawing/2014/main" id="{A5CC6EDE-7B0F-4A99-B34D-F0DE7083735E}"/>
            </a:ext>
          </a:extLst>
        </xdr:cNvPr>
        <xdr:cNvSpPr/>
      </xdr:nvSpPr>
      <xdr:spPr>
        <a:xfrm>
          <a:off x="9499817" y="5134016"/>
          <a:ext cx="3999899" cy="772014"/>
        </a:xfrm>
        <a:prstGeom prst="roundRect">
          <a:avLst/>
        </a:prstGeom>
        <a:solidFill>
          <a:srgbClr val="1E222D"/>
        </a:solidFill>
        <a:ln w="57150">
          <a:solidFill>
            <a:srgbClr val="D500F9"/>
          </a:solidFill>
        </a:ln>
        <a:effectLst>
          <a:glow rad="1397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r>
            <a:rPr lang="en-IN" sz="1000" b="1" cap="none" spc="0">
              <a:ln w="0"/>
              <a:solidFill>
                <a:schemeClr val="accent1"/>
              </a:solidFill>
              <a:effectLst>
                <a:outerShdw blurRad="38100" dist="25400" dir="5400000" algn="ctr" rotWithShape="0">
                  <a:srgbClr val="6E747A">
                    <a:alpha val="43000"/>
                  </a:srgbClr>
                </a:outerShdw>
              </a:effectLst>
              <a:latin typeface="+mn-lt"/>
              <a:ea typeface="+mn-ea"/>
              <a:cs typeface="+mn-cs"/>
            </a:rPr>
            <a:t>TOP STUDENT</a:t>
          </a:r>
        </a:p>
      </xdr:txBody>
    </xdr:sp>
    <xdr:clientData/>
  </xdr:twoCellAnchor>
  <xdr:twoCellAnchor>
    <xdr:from>
      <xdr:col>10</xdr:col>
      <xdr:colOff>127081</xdr:colOff>
      <xdr:row>16</xdr:row>
      <xdr:rowOff>13118</xdr:rowOff>
    </xdr:from>
    <xdr:to>
      <xdr:col>12</xdr:col>
      <xdr:colOff>1311446</xdr:colOff>
      <xdr:row>19</xdr:row>
      <xdr:rowOff>20866</xdr:rowOff>
    </xdr:to>
    <xdr:sp macro="" textlink="">
      <xdr:nvSpPr>
        <xdr:cNvPr id="41" name="Rectangle: Rounded Corners 40">
          <a:extLst>
            <a:ext uri="{FF2B5EF4-FFF2-40B4-BE49-F238E27FC236}">
              <a16:creationId xmlns:a16="http://schemas.microsoft.com/office/drawing/2014/main" id="{A28F80C3-4DEC-4B23-AFD9-1A71D3DFBC74}"/>
            </a:ext>
          </a:extLst>
        </xdr:cNvPr>
        <xdr:cNvSpPr/>
      </xdr:nvSpPr>
      <xdr:spPr>
        <a:xfrm>
          <a:off x="13562344" y="5116513"/>
          <a:ext cx="3911523" cy="789800"/>
        </a:xfrm>
        <a:prstGeom prst="roundRect">
          <a:avLst/>
        </a:prstGeom>
        <a:solidFill>
          <a:srgbClr val="1E222D"/>
        </a:solidFill>
        <a:ln w="57150">
          <a:solidFill>
            <a:srgbClr val="D500F9"/>
          </a:solidFill>
        </a:ln>
        <a:effectLst>
          <a:glow rad="1397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r>
            <a:rPr lang="en-IN" sz="1000" b="1" cap="none" spc="0">
              <a:ln w="0"/>
              <a:solidFill>
                <a:schemeClr val="accent1"/>
              </a:solidFill>
              <a:effectLst>
                <a:outerShdw blurRad="38100" dist="25400" dir="5400000" algn="ctr" rotWithShape="0">
                  <a:srgbClr val="6E747A">
                    <a:alpha val="43000"/>
                  </a:srgbClr>
                </a:outerShdw>
              </a:effectLst>
              <a:latin typeface="+mn-lt"/>
              <a:ea typeface="+mn-ea"/>
              <a:cs typeface="+mn-cs"/>
            </a:rPr>
            <a:t>TOP SUBJECT</a:t>
          </a:r>
        </a:p>
      </xdr:txBody>
    </xdr:sp>
    <xdr:clientData/>
  </xdr:twoCellAnchor>
  <xdr:twoCellAnchor>
    <xdr:from>
      <xdr:col>2</xdr:col>
      <xdr:colOff>0</xdr:colOff>
      <xdr:row>17</xdr:row>
      <xdr:rowOff>4947</xdr:rowOff>
    </xdr:from>
    <xdr:to>
      <xdr:col>2</xdr:col>
      <xdr:colOff>1260763</xdr:colOff>
      <xdr:row>18</xdr:row>
      <xdr:rowOff>157347</xdr:rowOff>
    </xdr:to>
    <xdr:sp macro="" textlink="AB3">
      <xdr:nvSpPr>
        <xdr:cNvPr id="43" name="Oval 42">
          <a:extLst>
            <a:ext uri="{FF2B5EF4-FFF2-40B4-BE49-F238E27FC236}">
              <a16:creationId xmlns:a16="http://schemas.microsoft.com/office/drawing/2014/main" id="{0B75C03A-9949-4A98-93B9-ED1B998319E1}"/>
            </a:ext>
          </a:extLst>
        </xdr:cNvPr>
        <xdr:cNvSpPr/>
      </xdr:nvSpPr>
      <xdr:spPr>
        <a:xfrm>
          <a:off x="1489364" y="2822038"/>
          <a:ext cx="1260763" cy="348673"/>
        </a:xfrm>
        <a:prstGeom prst="ellipse">
          <a:avLst/>
        </a:prstGeom>
        <a:solidFill>
          <a:srgbClr val="1E222D"/>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fld id="{A655BCC3-596E-4606-B7D6-2CF09B7E3CF4}" type="TxLink">
            <a:rPr lang="en-US" sz="1600" b="1">
              <a:solidFill>
                <a:srgbClr val="00FF66"/>
              </a:solidFill>
              <a:latin typeface="+mn-lt"/>
              <a:ea typeface="+mn-ea"/>
              <a:cs typeface="+mn-cs"/>
            </a:rPr>
            <a:pPr marL="0" indent="0" algn="ctr"/>
            <a:t>96%</a:t>
          </a:fld>
          <a:endParaRPr lang="en-IN" sz="1600" b="1">
            <a:solidFill>
              <a:srgbClr val="00FF66"/>
            </a:solidFill>
            <a:latin typeface="+mn-lt"/>
            <a:ea typeface="+mn-ea"/>
            <a:cs typeface="+mn-cs"/>
          </a:endParaRPr>
        </a:p>
      </xdr:txBody>
    </xdr:sp>
    <xdr:clientData/>
  </xdr:twoCellAnchor>
  <xdr:twoCellAnchor>
    <xdr:from>
      <xdr:col>5</xdr:col>
      <xdr:colOff>106704</xdr:colOff>
      <xdr:row>17</xdr:row>
      <xdr:rowOff>2640</xdr:rowOff>
    </xdr:from>
    <xdr:to>
      <xdr:col>5</xdr:col>
      <xdr:colOff>1360541</xdr:colOff>
      <xdr:row>18</xdr:row>
      <xdr:rowOff>158998</xdr:rowOff>
    </xdr:to>
    <xdr:sp macro="" textlink="AC3">
      <xdr:nvSpPr>
        <xdr:cNvPr id="44" name="Oval 43">
          <a:extLst>
            <a:ext uri="{FF2B5EF4-FFF2-40B4-BE49-F238E27FC236}">
              <a16:creationId xmlns:a16="http://schemas.microsoft.com/office/drawing/2014/main" id="{E646D50F-4848-403B-9B01-29CE01FBB290}"/>
            </a:ext>
          </a:extLst>
        </xdr:cNvPr>
        <xdr:cNvSpPr/>
      </xdr:nvSpPr>
      <xdr:spPr>
        <a:xfrm>
          <a:off x="6044366" y="2842822"/>
          <a:ext cx="1253837" cy="354280"/>
        </a:xfrm>
        <a:prstGeom prst="ellipse">
          <a:avLst/>
        </a:prstGeom>
        <a:solidFill>
          <a:srgbClr val="1E222D"/>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fld id="{393E90A9-5D90-49A9-9598-9F2D07BEDFDE}" type="TxLink">
            <a:rPr lang="en-US" sz="1600" b="1">
              <a:solidFill>
                <a:srgbClr val="00FF66"/>
              </a:solidFill>
              <a:latin typeface="+mn-lt"/>
              <a:ea typeface="+mn-ea"/>
              <a:cs typeface="+mn-cs"/>
            </a:rPr>
            <a:pPr marL="0" indent="0" algn="ctr"/>
            <a:t>15</a:t>
          </a:fld>
          <a:endParaRPr lang="en-IN" sz="1600" b="1">
            <a:solidFill>
              <a:srgbClr val="00FF66"/>
            </a:solidFill>
            <a:latin typeface="+mn-lt"/>
            <a:ea typeface="+mn-ea"/>
            <a:cs typeface="+mn-cs"/>
          </a:endParaRPr>
        </a:p>
      </xdr:txBody>
    </xdr:sp>
    <xdr:clientData/>
  </xdr:twoCellAnchor>
  <xdr:twoCellAnchor>
    <xdr:from>
      <xdr:col>8</xdr:col>
      <xdr:colOff>137606</xdr:colOff>
      <xdr:row>17</xdr:row>
      <xdr:rowOff>61136</xdr:rowOff>
    </xdr:from>
    <xdr:to>
      <xdr:col>8</xdr:col>
      <xdr:colOff>1319561</xdr:colOff>
      <xdr:row>18</xdr:row>
      <xdr:rowOff>197374</xdr:rowOff>
    </xdr:to>
    <xdr:sp macro="" textlink="AD3">
      <xdr:nvSpPr>
        <xdr:cNvPr id="45" name="Oval 44">
          <a:extLst>
            <a:ext uri="{FF2B5EF4-FFF2-40B4-BE49-F238E27FC236}">
              <a16:creationId xmlns:a16="http://schemas.microsoft.com/office/drawing/2014/main" id="{5255D0ED-C7BB-4886-8E5C-A914417CF6B6}"/>
            </a:ext>
          </a:extLst>
        </xdr:cNvPr>
        <xdr:cNvSpPr/>
      </xdr:nvSpPr>
      <xdr:spPr>
        <a:xfrm>
          <a:off x="10842777" y="5831892"/>
          <a:ext cx="1181955" cy="396433"/>
        </a:xfrm>
        <a:prstGeom prst="ellipse">
          <a:avLst/>
        </a:prstGeom>
        <a:solidFill>
          <a:srgbClr val="1E222D"/>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fld id="{94AC96BB-6F62-468F-AE1B-6BDA1E99ADD5}" type="TxLink">
            <a:rPr lang="en-US" sz="1600" b="1">
              <a:solidFill>
                <a:srgbClr val="00FF66"/>
              </a:solidFill>
              <a:latin typeface="+mn-lt"/>
              <a:ea typeface="+mn-ea"/>
              <a:cs typeface="+mn-cs"/>
            </a:rPr>
            <a:pPr marL="0" indent="0" algn="ctr"/>
            <a:t>Naveen</a:t>
          </a:fld>
          <a:endParaRPr lang="en-IN" sz="1600" b="1">
            <a:solidFill>
              <a:srgbClr val="00FF66"/>
            </a:solidFill>
            <a:latin typeface="+mn-lt"/>
            <a:ea typeface="+mn-ea"/>
            <a:cs typeface="+mn-cs"/>
          </a:endParaRPr>
        </a:p>
      </xdr:txBody>
    </xdr:sp>
    <xdr:clientData/>
  </xdr:twoCellAnchor>
  <xdr:twoCellAnchor>
    <xdr:from>
      <xdr:col>11</xdr:col>
      <xdr:colOff>228601</xdr:colOff>
      <xdr:row>17</xdr:row>
      <xdr:rowOff>0</xdr:rowOff>
    </xdr:from>
    <xdr:to>
      <xdr:col>12</xdr:col>
      <xdr:colOff>0</xdr:colOff>
      <xdr:row>18</xdr:row>
      <xdr:rowOff>150421</xdr:rowOff>
    </xdr:to>
    <xdr:sp macro="" textlink="AE3">
      <xdr:nvSpPr>
        <xdr:cNvPr id="46" name="Oval 45">
          <a:extLst>
            <a:ext uri="{FF2B5EF4-FFF2-40B4-BE49-F238E27FC236}">
              <a16:creationId xmlns:a16="http://schemas.microsoft.com/office/drawing/2014/main" id="{010CAB64-9F4B-4357-BEEC-64D2EF9A1BE7}"/>
            </a:ext>
          </a:extLst>
        </xdr:cNvPr>
        <xdr:cNvSpPr/>
      </xdr:nvSpPr>
      <xdr:spPr>
        <a:xfrm>
          <a:off x="15122237" y="2815112"/>
          <a:ext cx="1260763" cy="348673"/>
        </a:xfrm>
        <a:prstGeom prst="ellipse">
          <a:avLst/>
        </a:prstGeom>
        <a:solidFill>
          <a:srgbClr val="1E222D"/>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fld id="{62058D92-6702-4B27-B7C3-A2E3575DD9DA}" type="TxLink">
            <a:rPr lang="en-US" sz="1600" b="1">
              <a:solidFill>
                <a:srgbClr val="00FF66"/>
              </a:solidFill>
              <a:latin typeface="+mn-lt"/>
              <a:ea typeface="+mn-ea"/>
              <a:cs typeface="+mn-cs"/>
            </a:rPr>
            <a:pPr marL="0" indent="0" algn="ctr"/>
            <a:t>English</a:t>
          </a:fld>
          <a:endParaRPr lang="en-IN" sz="1600" b="1">
            <a:solidFill>
              <a:srgbClr val="00FF66"/>
            </a:solidFill>
            <a:latin typeface="+mn-lt"/>
            <a:ea typeface="+mn-ea"/>
            <a:cs typeface="+mn-cs"/>
          </a:endParaRPr>
        </a:p>
      </xdr:txBody>
    </xdr:sp>
    <xdr:clientData/>
  </xdr:twoCellAnchor>
  <xdr:twoCellAnchor>
    <xdr:from>
      <xdr:col>1</xdr:col>
      <xdr:colOff>6510</xdr:colOff>
      <xdr:row>21</xdr:row>
      <xdr:rowOff>0</xdr:rowOff>
    </xdr:from>
    <xdr:to>
      <xdr:col>3</xdr:col>
      <xdr:colOff>1463972</xdr:colOff>
      <xdr:row>25</xdr:row>
      <xdr:rowOff>12594</xdr:rowOff>
    </xdr:to>
    <xdr:sp macro="" textlink="">
      <xdr:nvSpPr>
        <xdr:cNvPr id="50" name="srinu1">
          <a:extLst>
            <a:ext uri="{FF2B5EF4-FFF2-40B4-BE49-F238E27FC236}">
              <a16:creationId xmlns:a16="http://schemas.microsoft.com/office/drawing/2014/main" id="{2078BA5F-E165-4886-A4CE-953E0EA30A68}"/>
            </a:ext>
          </a:extLst>
        </xdr:cNvPr>
        <xdr:cNvSpPr/>
      </xdr:nvSpPr>
      <xdr:spPr>
        <a:xfrm>
          <a:off x="6510" y="4027714"/>
          <a:ext cx="4426293" cy="606361"/>
        </a:xfrm>
        <a:prstGeom prst="roundRect">
          <a:avLst>
            <a:gd name="adj" fmla="val 50000"/>
          </a:avLst>
        </a:prstGeom>
        <a:solidFill>
          <a:srgbClr val="39FF14"/>
        </a:solidFill>
        <a:ln w="38100">
          <a:solidFill>
            <a:sysClr val="windowText" lastClr="000000"/>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r>
            <a:rPr lang="en-IN" sz="1000" b="1">
              <a:solidFill>
                <a:sysClr val="windowText" lastClr="000000"/>
              </a:solidFill>
              <a:latin typeface="+mn-lt"/>
              <a:ea typeface="+mn-ea"/>
              <a:cs typeface="+mn-cs"/>
            </a:rPr>
            <a:t>STUDY HOURS</a:t>
          </a:r>
        </a:p>
      </xdr:txBody>
    </xdr:sp>
    <xdr:clientData/>
  </xdr:twoCellAnchor>
  <xdr:twoCellAnchor>
    <xdr:from>
      <xdr:col>4</xdr:col>
      <xdr:colOff>59636</xdr:colOff>
      <xdr:row>21</xdr:row>
      <xdr:rowOff>20052</xdr:rowOff>
    </xdr:from>
    <xdr:to>
      <xdr:col>7</xdr:col>
      <xdr:colOff>28957</xdr:colOff>
      <xdr:row>25</xdr:row>
      <xdr:rowOff>32646</xdr:rowOff>
    </xdr:to>
    <xdr:sp macro="" textlink="">
      <xdr:nvSpPr>
        <xdr:cNvPr id="51" name="srinu3">
          <a:extLst>
            <a:ext uri="{FF2B5EF4-FFF2-40B4-BE49-F238E27FC236}">
              <a16:creationId xmlns:a16="http://schemas.microsoft.com/office/drawing/2014/main" id="{03810217-BF98-4069-8DCA-FE0A9E23CB69}"/>
            </a:ext>
          </a:extLst>
        </xdr:cNvPr>
        <xdr:cNvSpPr/>
      </xdr:nvSpPr>
      <xdr:spPr>
        <a:xfrm>
          <a:off x="5433741" y="6316578"/>
          <a:ext cx="3999900" cy="814700"/>
        </a:xfrm>
        <a:prstGeom prst="roundRect">
          <a:avLst>
            <a:gd name="adj" fmla="val 50000"/>
          </a:avLst>
        </a:prstGeom>
        <a:solidFill>
          <a:srgbClr val="39FF14"/>
        </a:solidFill>
        <a:ln w="38100">
          <a:solidFill>
            <a:sysClr val="windowText" lastClr="000000"/>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r>
            <a:rPr lang="en-IN" sz="1000" b="1">
              <a:solidFill>
                <a:sysClr val="windowText" lastClr="000000"/>
              </a:solidFill>
              <a:latin typeface="+mn-lt"/>
              <a:ea typeface="+mn-ea"/>
              <a:cs typeface="+mn-cs"/>
            </a:rPr>
            <a:t>AVERAGE SCORE</a:t>
          </a:r>
        </a:p>
      </xdr:txBody>
    </xdr:sp>
    <xdr:clientData/>
  </xdr:twoCellAnchor>
  <xdr:twoCellAnchor>
    <xdr:from>
      <xdr:col>7</xdr:col>
      <xdr:colOff>105029</xdr:colOff>
      <xdr:row>21</xdr:row>
      <xdr:rowOff>30079</xdr:rowOff>
    </xdr:from>
    <xdr:to>
      <xdr:col>10</xdr:col>
      <xdr:colOff>74349</xdr:colOff>
      <xdr:row>25</xdr:row>
      <xdr:rowOff>59767</xdr:rowOff>
    </xdr:to>
    <xdr:sp macro="" textlink="">
      <xdr:nvSpPr>
        <xdr:cNvPr id="52" name="srinu5">
          <a:extLst>
            <a:ext uri="{FF2B5EF4-FFF2-40B4-BE49-F238E27FC236}">
              <a16:creationId xmlns:a16="http://schemas.microsoft.com/office/drawing/2014/main" id="{020ED16B-E6C3-448B-9246-AA98D39A8794}"/>
            </a:ext>
          </a:extLst>
        </xdr:cNvPr>
        <xdr:cNvSpPr/>
      </xdr:nvSpPr>
      <xdr:spPr>
        <a:xfrm>
          <a:off x="9509713" y="6326605"/>
          <a:ext cx="3999899" cy="831794"/>
        </a:xfrm>
        <a:prstGeom prst="roundRect">
          <a:avLst>
            <a:gd name="adj" fmla="val 50000"/>
          </a:avLst>
        </a:prstGeom>
        <a:solidFill>
          <a:srgbClr val="39FF14"/>
        </a:solidFill>
        <a:ln w="38100">
          <a:solidFill>
            <a:sysClr val="windowText" lastClr="000000"/>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r>
            <a:rPr lang="en-IN" sz="1000" b="1">
              <a:solidFill>
                <a:sysClr val="windowText" lastClr="000000"/>
              </a:solidFill>
              <a:latin typeface="+mn-lt"/>
              <a:ea typeface="+mn-ea"/>
              <a:cs typeface="+mn-cs"/>
            </a:rPr>
            <a:t>ATTENDANCE</a:t>
          </a:r>
        </a:p>
      </xdr:txBody>
    </xdr:sp>
    <xdr:clientData/>
  </xdr:twoCellAnchor>
  <xdr:twoCellAnchor>
    <xdr:from>
      <xdr:col>10</xdr:col>
      <xdr:colOff>137789</xdr:colOff>
      <xdr:row>21</xdr:row>
      <xdr:rowOff>0</xdr:rowOff>
    </xdr:from>
    <xdr:to>
      <xdr:col>12</xdr:col>
      <xdr:colOff>1595251</xdr:colOff>
      <xdr:row>25</xdr:row>
      <xdr:rowOff>12594</xdr:rowOff>
    </xdr:to>
    <xdr:sp macro="" textlink="">
      <xdr:nvSpPr>
        <xdr:cNvPr id="53" name="srinu7">
          <a:extLst>
            <a:ext uri="{FF2B5EF4-FFF2-40B4-BE49-F238E27FC236}">
              <a16:creationId xmlns:a16="http://schemas.microsoft.com/office/drawing/2014/main" id="{1D583F93-DA6F-401A-B5C4-7D5ADF133475}"/>
            </a:ext>
          </a:extLst>
        </xdr:cNvPr>
        <xdr:cNvSpPr/>
      </xdr:nvSpPr>
      <xdr:spPr>
        <a:xfrm>
          <a:off x="13497529" y="3433948"/>
          <a:ext cx="4762761" cy="606360"/>
        </a:xfrm>
        <a:prstGeom prst="roundRect">
          <a:avLst>
            <a:gd name="adj" fmla="val 50000"/>
          </a:avLst>
        </a:prstGeom>
        <a:solidFill>
          <a:srgbClr val="39FF14"/>
        </a:solidFill>
        <a:ln w="38100">
          <a:solidFill>
            <a:sysClr val="windowText" lastClr="000000"/>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r>
            <a:rPr lang="en-IN" sz="1000" b="1">
              <a:solidFill>
                <a:sysClr val="windowText" lastClr="000000"/>
              </a:solidFill>
              <a:latin typeface="+mn-lt"/>
              <a:ea typeface="+mn-ea"/>
              <a:cs typeface="+mn-cs"/>
            </a:rPr>
            <a:t>ASSIGNMENT COMPLETION</a:t>
          </a:r>
        </a:p>
      </xdr:txBody>
    </xdr:sp>
    <xdr:clientData/>
  </xdr:twoCellAnchor>
  <xdr:twoCellAnchor>
    <xdr:from>
      <xdr:col>11</xdr:col>
      <xdr:colOff>268056</xdr:colOff>
      <xdr:row>22</xdr:row>
      <xdr:rowOff>169665</xdr:rowOff>
    </xdr:from>
    <xdr:to>
      <xdr:col>12</xdr:col>
      <xdr:colOff>39455</xdr:colOff>
      <xdr:row>24</xdr:row>
      <xdr:rowOff>120185</xdr:rowOff>
    </xdr:to>
    <xdr:sp macro="" textlink="AE4">
      <xdr:nvSpPr>
        <xdr:cNvPr id="54" name="srinu8">
          <a:extLst>
            <a:ext uri="{FF2B5EF4-FFF2-40B4-BE49-F238E27FC236}">
              <a16:creationId xmlns:a16="http://schemas.microsoft.com/office/drawing/2014/main" id="{49CBB21A-247C-4392-B8DF-E63C4CC0B883}"/>
            </a:ext>
          </a:extLst>
        </xdr:cNvPr>
        <xdr:cNvSpPr/>
      </xdr:nvSpPr>
      <xdr:spPr>
        <a:xfrm>
          <a:off x="15046845" y="6937428"/>
          <a:ext cx="1155031" cy="351573"/>
        </a:xfrm>
        <a:prstGeom prst="ellipse">
          <a:avLst/>
        </a:prstGeom>
        <a:solidFill>
          <a:srgbClr val="39FF14"/>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fld id="{4E09932B-7DC9-4B7A-B3FB-DE4B20E0C84A}" type="TxLink">
            <a:rPr lang="en-US" sz="1600" b="1">
              <a:solidFill>
                <a:sysClr val="windowText" lastClr="000000"/>
              </a:solidFill>
              <a:latin typeface="+mn-lt"/>
              <a:ea typeface="+mn-ea"/>
              <a:cs typeface="+mn-cs"/>
            </a:rPr>
            <a:pPr marL="0" indent="0" algn="ctr"/>
            <a:t>69%</a:t>
          </a:fld>
          <a:endParaRPr lang="en-IN" sz="1600" b="1">
            <a:solidFill>
              <a:sysClr val="windowText" lastClr="000000"/>
            </a:solidFill>
            <a:latin typeface="+mn-lt"/>
            <a:ea typeface="+mn-ea"/>
            <a:cs typeface="+mn-cs"/>
          </a:endParaRPr>
        </a:p>
      </xdr:txBody>
    </xdr:sp>
    <xdr:clientData/>
  </xdr:twoCellAnchor>
  <xdr:twoCellAnchor>
    <xdr:from>
      <xdr:col>8</xdr:col>
      <xdr:colOff>248262</xdr:colOff>
      <xdr:row>23</xdr:row>
      <xdr:rowOff>19010</xdr:rowOff>
    </xdr:from>
    <xdr:to>
      <xdr:col>9</xdr:col>
      <xdr:colOff>19661</xdr:colOff>
      <xdr:row>24</xdr:row>
      <xdr:rowOff>170056</xdr:rowOff>
    </xdr:to>
    <xdr:sp macro="" textlink="AD4">
      <xdr:nvSpPr>
        <xdr:cNvPr id="55" name="srinu6">
          <a:extLst>
            <a:ext uri="{FF2B5EF4-FFF2-40B4-BE49-F238E27FC236}">
              <a16:creationId xmlns:a16="http://schemas.microsoft.com/office/drawing/2014/main" id="{53868909-638D-47C1-8548-11C466B3CEF7}"/>
            </a:ext>
          </a:extLst>
        </xdr:cNvPr>
        <xdr:cNvSpPr/>
      </xdr:nvSpPr>
      <xdr:spPr>
        <a:xfrm>
          <a:off x="10996473" y="6987299"/>
          <a:ext cx="1114925" cy="351573"/>
        </a:xfrm>
        <a:prstGeom prst="ellipse">
          <a:avLst/>
        </a:prstGeom>
        <a:solidFill>
          <a:srgbClr val="39FF14"/>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fld id="{8B808FED-FDA5-473F-A49E-6F950014C2C5}" type="TxLink">
            <a:rPr lang="en-US" sz="1600" b="1">
              <a:solidFill>
                <a:sysClr val="windowText" lastClr="000000"/>
              </a:solidFill>
              <a:latin typeface="+mn-lt"/>
              <a:ea typeface="+mn-ea"/>
              <a:cs typeface="+mn-cs"/>
            </a:rPr>
            <a:pPr marL="0" indent="0" algn="ctr"/>
            <a:t>69%</a:t>
          </a:fld>
          <a:endParaRPr lang="en-IN" sz="1600" b="1">
            <a:solidFill>
              <a:sysClr val="windowText" lastClr="000000"/>
            </a:solidFill>
            <a:latin typeface="+mn-lt"/>
            <a:ea typeface="+mn-ea"/>
            <a:cs typeface="+mn-cs"/>
          </a:endParaRPr>
        </a:p>
      </xdr:txBody>
    </xdr:sp>
    <xdr:clientData/>
  </xdr:twoCellAnchor>
  <xdr:twoCellAnchor>
    <xdr:from>
      <xdr:col>5</xdr:col>
      <xdr:colOff>58944</xdr:colOff>
      <xdr:row>22</xdr:row>
      <xdr:rowOff>194796</xdr:rowOff>
    </xdr:from>
    <xdr:to>
      <xdr:col>5</xdr:col>
      <xdr:colOff>1314759</xdr:colOff>
      <xdr:row>24</xdr:row>
      <xdr:rowOff>140368</xdr:rowOff>
    </xdr:to>
    <xdr:sp macro="" textlink="AC4">
      <xdr:nvSpPr>
        <xdr:cNvPr id="56" name="srinu4">
          <a:extLst>
            <a:ext uri="{FF2B5EF4-FFF2-40B4-BE49-F238E27FC236}">
              <a16:creationId xmlns:a16="http://schemas.microsoft.com/office/drawing/2014/main" id="{089FD6CA-DD40-4EDD-9F8F-1C2DB5D357C3}"/>
            </a:ext>
          </a:extLst>
        </xdr:cNvPr>
        <xdr:cNvSpPr/>
      </xdr:nvSpPr>
      <xdr:spPr>
        <a:xfrm>
          <a:off x="6776576" y="6962559"/>
          <a:ext cx="1255815" cy="346625"/>
        </a:xfrm>
        <a:prstGeom prst="ellipse">
          <a:avLst/>
        </a:prstGeom>
        <a:solidFill>
          <a:srgbClr val="39FF14"/>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fld id="{D6E55C8A-735C-4C4D-94D5-B51E9DD59DB3}" type="TxLink">
            <a:rPr lang="en-US" sz="1600" b="1">
              <a:solidFill>
                <a:sysClr val="windowText" lastClr="000000"/>
              </a:solidFill>
              <a:latin typeface="+mn-lt"/>
              <a:ea typeface="+mn-ea"/>
              <a:cs typeface="+mn-cs"/>
            </a:rPr>
            <a:pPr marL="0" indent="0" algn="ctr"/>
            <a:t>69</a:t>
          </a:fld>
          <a:endParaRPr lang="en-IN" sz="1600" b="1">
            <a:solidFill>
              <a:sysClr val="windowText" lastClr="000000"/>
            </a:solidFill>
            <a:latin typeface="+mn-lt"/>
            <a:ea typeface="+mn-ea"/>
            <a:cs typeface="+mn-cs"/>
          </a:endParaRPr>
        </a:p>
      </xdr:txBody>
    </xdr:sp>
    <xdr:clientData/>
  </xdr:twoCellAnchor>
  <xdr:twoCellAnchor editAs="oneCell">
    <xdr:from>
      <xdr:col>0</xdr:col>
      <xdr:colOff>370115</xdr:colOff>
      <xdr:row>7</xdr:row>
      <xdr:rowOff>21773</xdr:rowOff>
    </xdr:from>
    <xdr:to>
      <xdr:col>4</xdr:col>
      <xdr:colOff>594344</xdr:colOff>
      <xdr:row>9</xdr:row>
      <xdr:rowOff>512898</xdr:rowOff>
    </xdr:to>
    <mc:AlternateContent xmlns:mc="http://schemas.openxmlformats.org/markup-compatibility/2006" xmlns:a14="http://schemas.microsoft.com/office/drawing/2010/main">
      <mc:Choice Requires="a14">
        <xdr:graphicFrame macro="">
          <xdr:nvGraphicFramePr>
            <xdr:cNvPr id="59" name="Student_Name">
              <a:extLst>
                <a:ext uri="{FF2B5EF4-FFF2-40B4-BE49-F238E27FC236}">
                  <a16:creationId xmlns:a16="http://schemas.microsoft.com/office/drawing/2014/main" id="{3AA2C23F-7229-4843-8EF7-9F51D50A3060}"/>
                </a:ext>
              </a:extLst>
            </xdr:cNvPr>
            <xdr:cNvGraphicFramePr/>
          </xdr:nvGraphicFramePr>
          <xdr:xfrm>
            <a:off x="0" y="0"/>
            <a:ext cx="0" cy="0"/>
          </xdr:xfrm>
          <a:graphic>
            <a:graphicData uri="http://schemas.microsoft.com/office/drawing/2010/slicer">
              <sle:slicer xmlns:sle="http://schemas.microsoft.com/office/drawing/2010/slicer" name="Student_Name"/>
            </a:graphicData>
          </a:graphic>
        </xdr:graphicFrame>
      </mc:Choice>
      <mc:Fallback xmlns="">
        <xdr:sp macro="" textlink="">
          <xdr:nvSpPr>
            <xdr:cNvPr id="0" name=""/>
            <xdr:cNvSpPr>
              <a:spLocks noTextEdit="1"/>
            </xdr:cNvSpPr>
          </xdr:nvSpPr>
          <xdr:spPr>
            <a:xfrm>
              <a:off x="370115" y="3135087"/>
              <a:ext cx="5580000" cy="126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6927</xdr:colOff>
      <xdr:row>22</xdr:row>
      <xdr:rowOff>176783</xdr:rowOff>
    </xdr:from>
    <xdr:to>
      <xdr:col>2</xdr:col>
      <xdr:colOff>1260763</xdr:colOff>
      <xdr:row>24</xdr:row>
      <xdr:rowOff>132910</xdr:rowOff>
    </xdr:to>
    <xdr:sp macro="" textlink="AB4">
      <xdr:nvSpPr>
        <xdr:cNvPr id="57" name="srinu2">
          <a:extLst>
            <a:ext uri="{FF2B5EF4-FFF2-40B4-BE49-F238E27FC236}">
              <a16:creationId xmlns:a16="http://schemas.microsoft.com/office/drawing/2014/main" id="{DD1EDCDF-88E7-45B9-900B-6293179B42AB}"/>
            </a:ext>
          </a:extLst>
        </xdr:cNvPr>
        <xdr:cNvSpPr/>
      </xdr:nvSpPr>
      <xdr:spPr>
        <a:xfrm>
          <a:off x="2693980" y="6944546"/>
          <a:ext cx="1253836" cy="357180"/>
        </a:xfrm>
        <a:prstGeom prst="ellipse">
          <a:avLst/>
        </a:prstGeom>
        <a:solidFill>
          <a:srgbClr val="39FF14"/>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indent="0" algn="ctr"/>
          <a:fld id="{55CE8A0B-FC18-4A4E-8DB7-21236B2BDF19}" type="TxLink">
            <a:rPr lang="en-US" sz="1600" b="1">
              <a:solidFill>
                <a:sysClr val="windowText" lastClr="000000"/>
              </a:solidFill>
              <a:latin typeface="+mn-lt"/>
              <a:ea typeface="+mn-ea"/>
              <a:cs typeface="+mn-cs"/>
            </a:rPr>
            <a:pPr marL="0" indent="0" algn="ctr"/>
            <a:t>3</a:t>
          </a:fld>
          <a:endParaRPr lang="en-US" sz="1600" b="1">
            <a:solidFill>
              <a:sysClr val="windowText" lastClr="000000"/>
            </a:solidFill>
            <a:latin typeface="+mn-lt"/>
            <a:ea typeface="+mn-ea"/>
            <a:cs typeface="+mn-cs"/>
          </a:endParaRPr>
        </a:p>
      </xdr:txBody>
    </xdr:sp>
    <xdr:clientData/>
  </xdr:twoCellAnchor>
  <xdr:twoCellAnchor editAs="oneCell">
    <xdr:from>
      <xdr:col>4</xdr:col>
      <xdr:colOff>812132</xdr:colOff>
      <xdr:row>7</xdr:row>
      <xdr:rowOff>34376</xdr:rowOff>
    </xdr:from>
    <xdr:to>
      <xdr:col>9</xdr:col>
      <xdr:colOff>571500</xdr:colOff>
      <xdr:row>9</xdr:row>
      <xdr:rowOff>500386</xdr:rowOff>
    </xdr:to>
    <mc:AlternateContent xmlns:mc="http://schemas.openxmlformats.org/markup-compatibility/2006" xmlns:a14="http://schemas.microsoft.com/office/drawing/2010/main">
      <mc:Choice Requires="a14">
        <xdr:graphicFrame macro="">
          <xdr:nvGraphicFramePr>
            <xdr:cNvPr id="60" name="Subject_Name">
              <a:extLst>
                <a:ext uri="{FF2B5EF4-FFF2-40B4-BE49-F238E27FC236}">
                  <a16:creationId xmlns:a16="http://schemas.microsoft.com/office/drawing/2014/main" id="{430B9A8A-3FAA-4DF1-B6AD-C2DA8654BD3C}"/>
                </a:ext>
              </a:extLst>
            </xdr:cNvPr>
            <xdr:cNvGraphicFramePr/>
          </xdr:nvGraphicFramePr>
          <xdr:xfrm>
            <a:off x="0" y="0"/>
            <a:ext cx="0" cy="0"/>
          </xdr:xfrm>
          <a:graphic>
            <a:graphicData uri="http://schemas.microsoft.com/office/drawing/2010/slicer">
              <sle:slicer xmlns:sle="http://schemas.microsoft.com/office/drawing/2010/slicer" name="Subject_Name"/>
            </a:graphicData>
          </a:graphic>
        </xdr:graphicFrame>
      </mc:Choice>
      <mc:Fallback xmlns="">
        <xdr:sp macro="" textlink="">
          <xdr:nvSpPr>
            <xdr:cNvPr id="0" name=""/>
            <xdr:cNvSpPr>
              <a:spLocks noTextEdit="1"/>
            </xdr:cNvSpPr>
          </xdr:nvSpPr>
          <xdr:spPr>
            <a:xfrm>
              <a:off x="6186237" y="3623797"/>
              <a:ext cx="6477000" cy="12280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783772</xdr:colOff>
      <xdr:row>7</xdr:row>
      <xdr:rowOff>10296</xdr:rowOff>
    </xdr:from>
    <xdr:to>
      <xdr:col>13</xdr:col>
      <xdr:colOff>964458</xdr:colOff>
      <xdr:row>9</xdr:row>
      <xdr:rowOff>501421</xdr:rowOff>
    </xdr:to>
    <mc:AlternateContent xmlns:mc="http://schemas.openxmlformats.org/markup-compatibility/2006" xmlns:a14="http://schemas.microsoft.com/office/drawing/2010/main">
      <mc:Choice Requires="a14">
        <xdr:graphicFrame macro="">
          <xdr:nvGraphicFramePr>
            <xdr:cNvPr id="62" name="Week_No">
              <a:extLst>
                <a:ext uri="{FF2B5EF4-FFF2-40B4-BE49-F238E27FC236}">
                  <a16:creationId xmlns:a16="http://schemas.microsoft.com/office/drawing/2014/main" id="{D14B8D91-5E1A-487B-967B-725237150E37}"/>
                </a:ext>
              </a:extLst>
            </xdr:cNvPr>
            <xdr:cNvGraphicFramePr/>
          </xdr:nvGraphicFramePr>
          <xdr:xfrm>
            <a:off x="0" y="0"/>
            <a:ext cx="0" cy="0"/>
          </xdr:xfrm>
          <a:graphic>
            <a:graphicData uri="http://schemas.microsoft.com/office/drawing/2010/slicer">
              <sle:slicer xmlns:sle="http://schemas.microsoft.com/office/drawing/2010/slicer" name="Week_No"/>
            </a:graphicData>
          </a:graphic>
        </xdr:graphicFrame>
      </mc:Choice>
      <mc:Fallback xmlns="">
        <xdr:sp macro="" textlink="">
          <xdr:nvSpPr>
            <xdr:cNvPr id="0" name=""/>
            <xdr:cNvSpPr>
              <a:spLocks noTextEdit="1"/>
            </xdr:cNvSpPr>
          </xdr:nvSpPr>
          <xdr:spPr>
            <a:xfrm>
              <a:off x="12834258" y="3123610"/>
              <a:ext cx="5580000" cy="126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803823</xdr:colOff>
      <xdr:row>3</xdr:row>
      <xdr:rowOff>267846</xdr:rowOff>
    </xdr:from>
    <xdr:to>
      <xdr:col>13</xdr:col>
      <xdr:colOff>857524</xdr:colOff>
      <xdr:row>5</xdr:row>
      <xdr:rowOff>158990</xdr:rowOff>
    </xdr:to>
    <xdr:sp macro="" textlink="AL2">
      <xdr:nvSpPr>
        <xdr:cNvPr id="22" name="srinu">
          <a:extLst>
            <a:ext uri="{FF2B5EF4-FFF2-40B4-BE49-F238E27FC236}">
              <a16:creationId xmlns:a16="http://schemas.microsoft.com/office/drawing/2014/main" id="{E1C918EF-8204-47C0-9B17-CC8913A3B473}"/>
            </a:ext>
          </a:extLst>
        </xdr:cNvPr>
        <xdr:cNvSpPr/>
      </xdr:nvSpPr>
      <xdr:spPr>
        <a:xfrm>
          <a:off x="14193252" y="1149589"/>
          <a:ext cx="4114072" cy="827315"/>
        </a:xfrm>
        <a:prstGeom prst="roundRect">
          <a:avLst>
            <a:gd name="adj" fmla="val 50000"/>
          </a:avLst>
        </a:prstGeom>
        <a:solidFill>
          <a:schemeClr val="bg2">
            <a:lumMod val="25000"/>
          </a:schemeClr>
        </a:solidFill>
        <a:ln w="57150">
          <a:solidFill>
            <a:schemeClr val="bg1">
              <a:lumMod val="75000"/>
            </a:schemeClr>
          </a:solidFill>
        </a:ln>
        <a:effectLst>
          <a:glow rad="139700">
            <a:schemeClr val="accent4">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4E195BD-FCC9-47F5-9BB0-2CDBF473F8BA}" type="TxLink">
            <a:rPr lang="en-US" sz="1400" b="1" i="0" u="none" strike="noStrike">
              <a:ln w="6350">
                <a:solidFill>
                  <a:srgbClr val="324155"/>
                </a:solidFill>
              </a:ln>
              <a:solidFill>
                <a:schemeClr val="bg1"/>
              </a:solidFill>
              <a:latin typeface="Calibri"/>
              <a:cs typeface="Calibri"/>
            </a:rPr>
            <a:pPr algn="ctr"/>
            <a:t>FILTERED: Kavya|Biology|Week:31</a:t>
          </a:fld>
          <a:endParaRPr lang="en-IN" sz="1400" b="1">
            <a:ln w="6350">
              <a:solidFill>
                <a:srgbClr val="324155"/>
              </a:solidFill>
            </a:ln>
            <a:solidFill>
              <a:schemeClr val="bg1"/>
            </a:solidFill>
          </a:endParaRPr>
        </a:p>
      </xdr:txBody>
    </xdr:sp>
    <xdr:clientData/>
  </xdr:twoCellAnchor>
  <xdr:twoCellAnchor>
    <xdr:from>
      <xdr:col>12</xdr:col>
      <xdr:colOff>1099458</xdr:colOff>
      <xdr:row>0</xdr:row>
      <xdr:rowOff>261257</xdr:rowOff>
    </xdr:from>
    <xdr:to>
      <xdr:col>13</xdr:col>
      <xdr:colOff>826276</xdr:colOff>
      <xdr:row>2</xdr:row>
      <xdr:rowOff>9669</xdr:rowOff>
    </xdr:to>
    <xdr:sp macro="[0]!Clear_All_Filters" textlink="">
      <xdr:nvSpPr>
        <xdr:cNvPr id="23" name="Flowchart: Terminator 22">
          <a:extLst>
            <a:ext uri="{FF2B5EF4-FFF2-40B4-BE49-F238E27FC236}">
              <a16:creationId xmlns:a16="http://schemas.microsoft.com/office/drawing/2014/main" id="{3A8FF96F-3CF8-40FC-B4A0-421C31490A30}"/>
            </a:ext>
          </a:extLst>
        </xdr:cNvPr>
        <xdr:cNvSpPr/>
      </xdr:nvSpPr>
      <xdr:spPr>
        <a:xfrm>
          <a:off x="17210315" y="261257"/>
          <a:ext cx="1065761" cy="336241"/>
        </a:xfrm>
        <a:prstGeom prst="flowChartTerminator">
          <a:avLst/>
        </a:prstGeom>
        <a:solidFill>
          <a:srgbClr val="0F172A"/>
        </a:solidFill>
        <a:ln w="28575">
          <a:solidFill>
            <a:schemeClr val="bg1">
              <a:lumMod val="75000"/>
            </a:schemeClr>
          </a:solidFill>
        </a:ln>
        <a:effectLst>
          <a:glow rad="1016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IN" sz="1600" b="1"/>
            <a:t>RESET</a:t>
          </a:r>
        </a:p>
      </xdr:txBody>
    </xdr:sp>
    <xdr:clientData/>
  </xdr:twoCellAnchor>
  <xdr:twoCellAnchor>
    <xdr:from>
      <xdr:col>11</xdr:col>
      <xdr:colOff>9494</xdr:colOff>
      <xdr:row>1</xdr:row>
      <xdr:rowOff>62961</xdr:rowOff>
    </xdr:from>
    <xdr:to>
      <xdr:col>11</xdr:col>
      <xdr:colOff>1255348</xdr:colOff>
      <xdr:row>2</xdr:row>
      <xdr:rowOff>5884</xdr:rowOff>
    </xdr:to>
    <xdr:sp macro="" textlink="AL4">
      <xdr:nvSpPr>
        <xdr:cNvPr id="31" name="Rectangle: Rounded Corners 30">
          <a:extLst>
            <a:ext uri="{FF2B5EF4-FFF2-40B4-BE49-F238E27FC236}">
              <a16:creationId xmlns:a16="http://schemas.microsoft.com/office/drawing/2014/main" id="{EEEDC01C-39BC-4D82-93CD-64C6B6A759B9}"/>
            </a:ext>
          </a:extLst>
        </xdr:cNvPr>
        <xdr:cNvSpPr/>
      </xdr:nvSpPr>
      <xdr:spPr>
        <a:xfrm>
          <a:off x="14737865" y="356875"/>
          <a:ext cx="1245854" cy="236838"/>
        </a:xfrm>
        <a:prstGeom prst="roundRect">
          <a:avLst/>
        </a:prstGeom>
        <a:solidFill>
          <a:schemeClr val="tx2">
            <a:lumMod val="75000"/>
          </a:schemeClr>
        </a:solidFill>
        <a:ln>
          <a:solidFill>
            <a:schemeClr val="tx2">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52CAC5D8-E0C6-4DA7-AD0D-4D46D441743F}" type="TxLink">
            <a:rPr lang="en-US" sz="1100" b="0" i="0" u="none" strike="noStrike">
              <a:ln>
                <a:noFill/>
              </a:ln>
              <a:solidFill>
                <a:srgbClr val="92D050"/>
              </a:solidFill>
              <a:latin typeface="Calibri"/>
              <a:cs typeface="Calibri"/>
            </a:rPr>
            <a:pPr algn="l"/>
            <a:t>19-10-2026 14:09</a:t>
          </a:fld>
          <a:endParaRPr lang="en-IN" sz="1100">
            <a:ln>
              <a:noFill/>
            </a:ln>
            <a:solidFill>
              <a:srgbClr val="92D050"/>
            </a:solidFill>
          </a:endParaRPr>
        </a:p>
      </xdr:txBody>
    </xdr:sp>
    <xdr:clientData/>
  </xdr:twoCellAnchor>
  <xdr:twoCellAnchor>
    <xdr:from>
      <xdr:col>0</xdr:col>
      <xdr:colOff>10886</xdr:colOff>
      <xdr:row>5</xdr:row>
      <xdr:rowOff>228600</xdr:rowOff>
    </xdr:from>
    <xdr:to>
      <xdr:col>13</xdr:col>
      <xdr:colOff>1295400</xdr:colOff>
      <xdr:row>5</xdr:row>
      <xdr:rowOff>315686</xdr:rowOff>
    </xdr:to>
    <xdr:cxnSp macro="">
      <xdr:nvCxnSpPr>
        <xdr:cNvPr id="67" name="Straight Connector 66">
          <a:extLst>
            <a:ext uri="{FF2B5EF4-FFF2-40B4-BE49-F238E27FC236}">
              <a16:creationId xmlns:a16="http://schemas.microsoft.com/office/drawing/2014/main" id="{AC13FE52-E2DF-44C5-9FD0-5D438920336E}"/>
            </a:ext>
          </a:extLst>
        </xdr:cNvPr>
        <xdr:cNvCxnSpPr/>
      </xdr:nvCxnSpPr>
      <xdr:spPr>
        <a:xfrm>
          <a:off x="10886" y="2046514"/>
          <a:ext cx="18734314" cy="87086"/>
        </a:xfrm>
        <a:prstGeom prst="line">
          <a:avLst/>
        </a:prstGeom>
        <a:ln w="57150"/>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424543</xdr:colOff>
      <xdr:row>8</xdr:row>
      <xdr:rowOff>228600</xdr:rowOff>
    </xdr:from>
    <xdr:to>
      <xdr:col>13</xdr:col>
      <xdr:colOff>870857</xdr:colOff>
      <xdr:row>9</xdr:row>
      <xdr:rowOff>337457</xdr:rowOff>
    </xdr:to>
    <xdr:sp macro="[0]!Clear_All_Filters" textlink="">
      <xdr:nvSpPr>
        <xdr:cNvPr id="33" name="Rectangle: Rounded Corners 32">
          <a:extLst>
            <a:ext uri="{FF2B5EF4-FFF2-40B4-BE49-F238E27FC236}">
              <a16:creationId xmlns:a16="http://schemas.microsoft.com/office/drawing/2014/main" id="{A4BD5ADD-F2CF-4FE0-91B1-4376D2E2376F}"/>
            </a:ext>
          </a:extLst>
        </xdr:cNvPr>
        <xdr:cNvSpPr/>
      </xdr:nvSpPr>
      <xdr:spPr>
        <a:xfrm>
          <a:off x="16535400" y="3254829"/>
          <a:ext cx="1785257" cy="489857"/>
        </a:xfrm>
        <a:prstGeom prst="roundRect">
          <a:avLst>
            <a:gd name="adj" fmla="val 20987"/>
          </a:avLst>
        </a:prstGeom>
        <a:solidFill>
          <a:schemeClr val="bg1">
            <a:lumMod val="50000"/>
          </a:schemeClr>
        </a:solidFill>
        <a:ln w="28575">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IN" sz="1800" b="1">
              <a:solidFill>
                <a:schemeClr val="bg2"/>
              </a:solidFill>
            </a:rPr>
            <a:t>RESET</a:t>
          </a:r>
        </a:p>
      </xdr:txBody>
    </xdr:sp>
    <xdr:clientData/>
  </xdr:twoCellAnchor>
  <xdr:twoCellAnchor>
    <xdr:from>
      <xdr:col>11</xdr:col>
      <xdr:colOff>63500</xdr:colOff>
      <xdr:row>101</xdr:row>
      <xdr:rowOff>12700</xdr:rowOff>
    </xdr:from>
    <xdr:to>
      <xdr:col>11</xdr:col>
      <xdr:colOff>1350191</xdr:colOff>
      <xdr:row>101</xdr:row>
      <xdr:rowOff>276861</xdr:rowOff>
    </xdr:to>
    <xdr:sp macro="[0]!ScrollToTop" textlink="">
      <xdr:nvSpPr>
        <xdr:cNvPr id="19" name="UpButton">
          <a:extLst>
            <a:ext uri="{FF2B5EF4-FFF2-40B4-BE49-F238E27FC236}">
              <a16:creationId xmlns:a16="http://schemas.microsoft.com/office/drawing/2014/main" id="{7E0E0407-0FB1-47D7-B0F5-7D3FA06C8003}"/>
            </a:ext>
          </a:extLst>
        </xdr:cNvPr>
        <xdr:cNvSpPr/>
      </xdr:nvSpPr>
      <xdr:spPr>
        <a:xfrm>
          <a:off x="14815820" y="30911800"/>
          <a:ext cx="1286691" cy="264161"/>
        </a:xfrm>
        <a:prstGeom prst="roundRect">
          <a:avLst/>
        </a:prstGeom>
        <a:solidFill>
          <a:schemeClr val="tx1">
            <a:lumMod val="65000"/>
            <a:lumOff val="35000"/>
          </a:schemeClr>
        </a:solidFill>
        <a:effectLst>
          <a:glow rad="2286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IN" sz="1400" b="1"/>
            <a:t>BACK</a:t>
          </a:r>
          <a:r>
            <a:rPr lang="en-IN" sz="1400" b="1" baseline="0"/>
            <a:t> TO TOP</a:t>
          </a:r>
          <a:endParaRPr lang="en-IN" sz="1400" b="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868728</xdr:colOff>
      <xdr:row>2</xdr:row>
      <xdr:rowOff>25733</xdr:rowOff>
    </xdr:from>
    <xdr:to>
      <xdr:col>1</xdr:col>
      <xdr:colOff>725853</xdr:colOff>
      <xdr:row>2</xdr:row>
      <xdr:rowOff>349733</xdr:rowOff>
    </xdr:to>
    <xdr:sp macro="" textlink="">
      <xdr:nvSpPr>
        <xdr:cNvPr id="26" name="Rectangle: Rounded Corners 25">
          <a:hlinkClick xmlns:r="http://schemas.openxmlformats.org/officeDocument/2006/relationships" r:id="rId1"/>
          <a:extLst>
            <a:ext uri="{FF2B5EF4-FFF2-40B4-BE49-F238E27FC236}">
              <a16:creationId xmlns:a16="http://schemas.microsoft.com/office/drawing/2014/main" id="{B4E51B4A-F89A-465C-85F0-F1A441B4F960}"/>
            </a:ext>
          </a:extLst>
        </xdr:cNvPr>
        <xdr:cNvSpPr/>
      </xdr:nvSpPr>
      <xdr:spPr>
        <a:xfrm>
          <a:off x="868728" y="604853"/>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       HOME</a:t>
          </a:r>
        </a:p>
        <a:p>
          <a:pPr algn="l"/>
          <a:endPar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2</xdr:col>
      <xdr:colOff>831928</xdr:colOff>
      <xdr:row>2</xdr:row>
      <xdr:rowOff>28210</xdr:rowOff>
    </xdr:from>
    <xdr:to>
      <xdr:col>3</xdr:col>
      <xdr:colOff>689053</xdr:colOff>
      <xdr:row>2</xdr:row>
      <xdr:rowOff>352210</xdr:rowOff>
    </xdr:to>
    <xdr:sp macro="" textlink="">
      <xdr:nvSpPr>
        <xdr:cNvPr id="27" name="Rectangle: Rounded Corners 26">
          <a:hlinkClick xmlns:r="http://schemas.openxmlformats.org/officeDocument/2006/relationships" r:id="rId2"/>
          <a:extLst>
            <a:ext uri="{FF2B5EF4-FFF2-40B4-BE49-F238E27FC236}">
              <a16:creationId xmlns:a16="http://schemas.microsoft.com/office/drawing/2014/main" id="{64A816EA-305F-41D0-A845-25F4C5DAE8C5}"/>
            </a:ext>
          </a:extLst>
        </xdr:cNvPr>
        <xdr:cNvSpPr/>
      </xdr:nvSpPr>
      <xdr:spPr>
        <a:xfrm>
          <a:off x="3788488" y="607330"/>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    RAW</a:t>
          </a:r>
          <a:r>
            <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rPr>
            <a:t> DATA</a:t>
          </a:r>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a:p>
          <a:pPr algn="l"/>
          <a:endPar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10</xdr:col>
      <xdr:colOff>774421</xdr:colOff>
      <xdr:row>2</xdr:row>
      <xdr:rowOff>23012</xdr:rowOff>
    </xdr:from>
    <xdr:to>
      <xdr:col>11</xdr:col>
      <xdr:colOff>631546</xdr:colOff>
      <xdr:row>2</xdr:row>
      <xdr:rowOff>347012</xdr:rowOff>
    </xdr:to>
    <xdr:sp macro="" textlink="">
      <xdr:nvSpPr>
        <xdr:cNvPr id="28" name="Rectangle: Rounded Corners 27">
          <a:hlinkClick xmlns:r="http://schemas.openxmlformats.org/officeDocument/2006/relationships" r:id="rId3"/>
          <a:extLst>
            <a:ext uri="{FF2B5EF4-FFF2-40B4-BE49-F238E27FC236}">
              <a16:creationId xmlns:a16="http://schemas.microsoft.com/office/drawing/2014/main" id="{798BEFF6-47ED-4EC9-9EA5-C63B66A2C742}"/>
            </a:ext>
          </a:extLst>
        </xdr:cNvPr>
        <xdr:cNvSpPr/>
      </xdr:nvSpPr>
      <xdr:spPr>
        <a:xfrm>
          <a:off x="15557221" y="602132"/>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a:solidFill>
                <a:schemeClr val="lt1"/>
              </a:solidFill>
              <a:effectLst>
                <a:outerShdw blurRad="38100" dist="22860" dir="5400000" algn="tl" rotWithShape="0">
                  <a:srgbClr val="000000">
                    <a:alpha val="30000"/>
                  </a:srgbClr>
                </a:outerShdw>
              </a:effectLst>
              <a:latin typeface="+mn-lt"/>
              <a:ea typeface="+mn-ea"/>
              <a:cs typeface="+mn-cs"/>
            </a:rPr>
            <a:t>     </a:t>
          </a:r>
          <a:r>
            <a:rPr lang="en-IN"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REPORTS</a:t>
          </a:r>
          <a:endParaRPr lang="en-IN" sz="1400" b="1">
            <a:solidFill>
              <a:schemeClr val="lt1"/>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8</xdr:col>
      <xdr:colOff>810140</xdr:colOff>
      <xdr:row>2</xdr:row>
      <xdr:rowOff>25732</xdr:rowOff>
    </xdr:from>
    <xdr:to>
      <xdr:col>9</xdr:col>
      <xdr:colOff>667265</xdr:colOff>
      <xdr:row>2</xdr:row>
      <xdr:rowOff>349732</xdr:rowOff>
    </xdr:to>
    <xdr:sp macro="" textlink="">
      <xdr:nvSpPr>
        <xdr:cNvPr id="29" name="Rectangle: Rounded Corners 28">
          <a:hlinkClick xmlns:r="http://schemas.openxmlformats.org/officeDocument/2006/relationships" r:id="rId4"/>
          <a:extLst>
            <a:ext uri="{FF2B5EF4-FFF2-40B4-BE49-F238E27FC236}">
              <a16:creationId xmlns:a16="http://schemas.microsoft.com/office/drawing/2014/main" id="{66352F0F-1F9C-4E46-84AD-E6B4BEDF4FD1}"/>
            </a:ext>
          </a:extLst>
        </xdr:cNvPr>
        <xdr:cNvSpPr/>
      </xdr:nvSpPr>
      <xdr:spPr>
        <a:xfrm>
          <a:off x="12636380" y="604852"/>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rPr>
            <a:t>       PIVOT</a:t>
          </a: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4</xdr:col>
      <xdr:colOff>834523</xdr:colOff>
      <xdr:row>2</xdr:row>
      <xdr:rowOff>25005</xdr:rowOff>
    </xdr:from>
    <xdr:to>
      <xdr:col>5</xdr:col>
      <xdr:colOff>691648</xdr:colOff>
      <xdr:row>2</xdr:row>
      <xdr:rowOff>349005</xdr:rowOff>
    </xdr:to>
    <xdr:sp macro="" textlink="">
      <xdr:nvSpPr>
        <xdr:cNvPr id="30" name="Rectangle: Rounded Corners 29">
          <a:hlinkClick xmlns:r="http://schemas.openxmlformats.org/officeDocument/2006/relationships" r:id="rId5"/>
          <a:extLst>
            <a:ext uri="{FF2B5EF4-FFF2-40B4-BE49-F238E27FC236}">
              <a16:creationId xmlns:a16="http://schemas.microsoft.com/office/drawing/2014/main" id="{B1777170-6CAA-4DC8-8EBA-FC072A066829}"/>
            </a:ext>
          </a:extLst>
        </xdr:cNvPr>
        <xdr:cNvSpPr/>
      </xdr:nvSpPr>
      <xdr:spPr>
        <a:xfrm>
          <a:off x="6747643" y="604125"/>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latin typeface="+mn-lt"/>
              <a:ea typeface="+mn-ea"/>
              <a:cs typeface="+mn-cs"/>
            </a:rPr>
            <a:t> MASTER DATA</a:t>
          </a: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6</xdr:col>
      <xdr:colOff>786764</xdr:colOff>
      <xdr:row>2</xdr:row>
      <xdr:rowOff>19050</xdr:rowOff>
    </xdr:from>
    <xdr:to>
      <xdr:col>7</xdr:col>
      <xdr:colOff>643889</xdr:colOff>
      <xdr:row>2</xdr:row>
      <xdr:rowOff>343050</xdr:rowOff>
    </xdr:to>
    <xdr:sp macro="" textlink="">
      <xdr:nvSpPr>
        <xdr:cNvPr id="31" name="Rectangle: Rounded Corners 30">
          <a:hlinkClick xmlns:r="http://schemas.openxmlformats.org/officeDocument/2006/relationships" r:id="rId6"/>
          <a:extLst>
            <a:ext uri="{FF2B5EF4-FFF2-40B4-BE49-F238E27FC236}">
              <a16:creationId xmlns:a16="http://schemas.microsoft.com/office/drawing/2014/main" id="{A98FA731-E573-41F1-AF99-28771C7C2AFC}"/>
            </a:ext>
          </a:extLst>
        </xdr:cNvPr>
        <xdr:cNvSpPr/>
      </xdr:nvSpPr>
      <xdr:spPr>
        <a:xfrm>
          <a:off x="9656444" y="598170"/>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 CALCULATION</a:t>
          </a:r>
          <a:endPar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868728</xdr:colOff>
      <xdr:row>2</xdr:row>
      <xdr:rowOff>25733</xdr:rowOff>
    </xdr:from>
    <xdr:to>
      <xdr:col>1</xdr:col>
      <xdr:colOff>725853</xdr:colOff>
      <xdr:row>2</xdr:row>
      <xdr:rowOff>349733</xdr:rowOff>
    </xdr:to>
    <xdr:sp macro="" textlink="">
      <xdr:nvSpPr>
        <xdr:cNvPr id="26" name="Rectangle: Rounded Corners 25">
          <a:hlinkClick xmlns:r="http://schemas.openxmlformats.org/officeDocument/2006/relationships" r:id="rId1"/>
          <a:extLst>
            <a:ext uri="{FF2B5EF4-FFF2-40B4-BE49-F238E27FC236}">
              <a16:creationId xmlns:a16="http://schemas.microsoft.com/office/drawing/2014/main" id="{EF0C5C0A-CAAA-48AD-A175-6FE4369F5231}"/>
            </a:ext>
          </a:extLst>
        </xdr:cNvPr>
        <xdr:cNvSpPr/>
      </xdr:nvSpPr>
      <xdr:spPr>
        <a:xfrm>
          <a:off x="868728" y="604853"/>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       HOME</a:t>
          </a:r>
        </a:p>
        <a:p>
          <a:pPr algn="l"/>
          <a:endPar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2</xdr:col>
      <xdr:colOff>831928</xdr:colOff>
      <xdr:row>2</xdr:row>
      <xdr:rowOff>28210</xdr:rowOff>
    </xdr:from>
    <xdr:to>
      <xdr:col>3</xdr:col>
      <xdr:colOff>689053</xdr:colOff>
      <xdr:row>2</xdr:row>
      <xdr:rowOff>352210</xdr:rowOff>
    </xdr:to>
    <xdr:sp macro="" textlink="">
      <xdr:nvSpPr>
        <xdr:cNvPr id="27" name="Rectangle: Rounded Corners 26">
          <a:hlinkClick xmlns:r="http://schemas.openxmlformats.org/officeDocument/2006/relationships" r:id="rId2"/>
          <a:extLst>
            <a:ext uri="{FF2B5EF4-FFF2-40B4-BE49-F238E27FC236}">
              <a16:creationId xmlns:a16="http://schemas.microsoft.com/office/drawing/2014/main" id="{67793BDC-8ECA-437C-B27F-F797051388E1}"/>
            </a:ext>
          </a:extLst>
        </xdr:cNvPr>
        <xdr:cNvSpPr/>
      </xdr:nvSpPr>
      <xdr:spPr>
        <a:xfrm>
          <a:off x="3788488" y="607330"/>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    RAW</a:t>
          </a:r>
          <a:r>
            <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rPr>
            <a:t> DATA</a:t>
          </a:r>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a:p>
          <a:pPr algn="l"/>
          <a:endPar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10</xdr:col>
      <xdr:colOff>774421</xdr:colOff>
      <xdr:row>2</xdr:row>
      <xdr:rowOff>23012</xdr:rowOff>
    </xdr:from>
    <xdr:to>
      <xdr:col>11</xdr:col>
      <xdr:colOff>631546</xdr:colOff>
      <xdr:row>2</xdr:row>
      <xdr:rowOff>347012</xdr:rowOff>
    </xdr:to>
    <xdr:sp macro="" textlink="">
      <xdr:nvSpPr>
        <xdr:cNvPr id="28" name="Rectangle: Rounded Corners 27">
          <a:hlinkClick xmlns:r="http://schemas.openxmlformats.org/officeDocument/2006/relationships" r:id="rId3"/>
          <a:extLst>
            <a:ext uri="{FF2B5EF4-FFF2-40B4-BE49-F238E27FC236}">
              <a16:creationId xmlns:a16="http://schemas.microsoft.com/office/drawing/2014/main" id="{DAEABF14-B9D1-47E5-953A-7BFEAC310961}"/>
            </a:ext>
          </a:extLst>
        </xdr:cNvPr>
        <xdr:cNvSpPr/>
      </xdr:nvSpPr>
      <xdr:spPr>
        <a:xfrm>
          <a:off x="15557221" y="602132"/>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a:solidFill>
                <a:schemeClr val="lt1"/>
              </a:solidFill>
              <a:effectLst>
                <a:outerShdw blurRad="38100" dist="22860" dir="5400000" algn="tl" rotWithShape="0">
                  <a:srgbClr val="000000">
                    <a:alpha val="30000"/>
                  </a:srgbClr>
                </a:outerShdw>
              </a:effectLst>
              <a:latin typeface="+mn-lt"/>
              <a:ea typeface="+mn-ea"/>
              <a:cs typeface="+mn-cs"/>
            </a:rPr>
            <a:t>     </a:t>
          </a:r>
          <a:r>
            <a:rPr lang="en-IN"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REPORTS</a:t>
          </a:r>
          <a:endParaRPr lang="en-IN" sz="1400" b="1">
            <a:solidFill>
              <a:schemeClr val="lt1"/>
            </a:solidFill>
            <a:effectLst>
              <a:outerShdw blurRad="38100" dist="22860" dir="5400000" algn="tl" rotWithShape="0">
                <a:srgbClr val="000000">
                  <a:alpha val="30000"/>
                </a:srgbClr>
              </a:outerShdw>
            </a:effectLst>
            <a:latin typeface="+mn-lt"/>
            <a:ea typeface="+mn-ea"/>
            <a:cs typeface="+mn-cs"/>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8</xdr:col>
      <xdr:colOff>810140</xdr:colOff>
      <xdr:row>2</xdr:row>
      <xdr:rowOff>25732</xdr:rowOff>
    </xdr:from>
    <xdr:to>
      <xdr:col>9</xdr:col>
      <xdr:colOff>667265</xdr:colOff>
      <xdr:row>2</xdr:row>
      <xdr:rowOff>349732</xdr:rowOff>
    </xdr:to>
    <xdr:sp macro="" textlink="">
      <xdr:nvSpPr>
        <xdr:cNvPr id="29" name="Rectangle: Rounded Corners 28">
          <a:hlinkClick xmlns:r="http://schemas.openxmlformats.org/officeDocument/2006/relationships" r:id="rId4"/>
          <a:extLst>
            <a:ext uri="{FF2B5EF4-FFF2-40B4-BE49-F238E27FC236}">
              <a16:creationId xmlns:a16="http://schemas.microsoft.com/office/drawing/2014/main" id="{1168EF79-2DE3-4D90-8E0F-1F5585A865EF}"/>
            </a:ext>
          </a:extLst>
        </xdr:cNvPr>
        <xdr:cNvSpPr/>
      </xdr:nvSpPr>
      <xdr:spPr>
        <a:xfrm>
          <a:off x="12636380" y="604852"/>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rPr>
            <a:t>       PIVOT</a:t>
          </a: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4</xdr:col>
      <xdr:colOff>834523</xdr:colOff>
      <xdr:row>2</xdr:row>
      <xdr:rowOff>25005</xdr:rowOff>
    </xdr:from>
    <xdr:to>
      <xdr:col>5</xdr:col>
      <xdr:colOff>691648</xdr:colOff>
      <xdr:row>2</xdr:row>
      <xdr:rowOff>349005</xdr:rowOff>
    </xdr:to>
    <xdr:sp macro="" textlink="">
      <xdr:nvSpPr>
        <xdr:cNvPr id="30" name="Rectangle: Rounded Corners 29">
          <a:hlinkClick xmlns:r="http://schemas.openxmlformats.org/officeDocument/2006/relationships" r:id="rId5"/>
          <a:extLst>
            <a:ext uri="{FF2B5EF4-FFF2-40B4-BE49-F238E27FC236}">
              <a16:creationId xmlns:a16="http://schemas.microsoft.com/office/drawing/2014/main" id="{09AF1C39-C340-41C2-9394-0E66AA9A1E6D}"/>
            </a:ext>
          </a:extLst>
        </xdr:cNvPr>
        <xdr:cNvSpPr/>
      </xdr:nvSpPr>
      <xdr:spPr>
        <a:xfrm>
          <a:off x="6747643" y="604125"/>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latin typeface="+mn-lt"/>
              <a:ea typeface="+mn-ea"/>
              <a:cs typeface="+mn-cs"/>
            </a:rPr>
            <a:t> MASTER DATA</a:t>
          </a: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6</xdr:col>
      <xdr:colOff>786764</xdr:colOff>
      <xdr:row>2</xdr:row>
      <xdr:rowOff>19050</xdr:rowOff>
    </xdr:from>
    <xdr:to>
      <xdr:col>7</xdr:col>
      <xdr:colOff>643889</xdr:colOff>
      <xdr:row>2</xdr:row>
      <xdr:rowOff>343050</xdr:rowOff>
    </xdr:to>
    <xdr:sp macro="" textlink="">
      <xdr:nvSpPr>
        <xdr:cNvPr id="31" name="Rectangle: Rounded Corners 30">
          <a:hlinkClick xmlns:r="http://schemas.openxmlformats.org/officeDocument/2006/relationships" r:id="rId6"/>
          <a:extLst>
            <a:ext uri="{FF2B5EF4-FFF2-40B4-BE49-F238E27FC236}">
              <a16:creationId xmlns:a16="http://schemas.microsoft.com/office/drawing/2014/main" id="{C13F227B-FAD8-44AF-937F-D5BA287822AC}"/>
            </a:ext>
          </a:extLst>
        </xdr:cNvPr>
        <xdr:cNvSpPr/>
      </xdr:nvSpPr>
      <xdr:spPr>
        <a:xfrm>
          <a:off x="9656444" y="598170"/>
          <a:ext cx="1335405" cy="324000"/>
        </a:xfrm>
        <a:prstGeom prst="roundRect">
          <a:avLst/>
        </a:prstGeom>
        <a:solidFill>
          <a:schemeClr val="tx2">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 CALCULATION</a:t>
          </a:r>
          <a:endParaRPr lang="en-IN" sz="1400" b="1" cap="none" spc="0" baseline="0">
            <a:ln w="10160">
              <a:solidFill>
                <a:schemeClr val="accent5"/>
              </a:solidFill>
              <a:prstDash val="solid"/>
            </a:ln>
            <a:solidFill>
              <a:schemeClr val="bg1"/>
            </a:solidFill>
            <a:effectLst>
              <a:outerShdw blurRad="38100" dist="22860" dir="5400000" algn="tl" rotWithShape="0">
                <a:srgbClr val="000000">
                  <a:alpha val="30000"/>
                </a:srgbClr>
              </a:outerShdw>
            </a:effectLst>
          </a:endParaRPr>
        </a:p>
        <a:p>
          <a:pPr algn="l"/>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ga Srinu" refreshedDate="46275.892986342595" createdVersion="7" refreshedVersion="7" minRefreshableVersion="3" recordCount="300" xr:uid="{96625325-6A20-4A80-874B-54B13AD95F83}">
  <cacheSource type="worksheet">
    <worksheetSource name="tblStudyData"/>
  </cacheSource>
  <cacheFields count="22">
    <cacheField name="Record_ID" numFmtId="0">
      <sharedItems count="300">
        <s v="R0001"/>
        <s v="R0002"/>
        <s v="R0003"/>
        <s v="R0004"/>
        <s v="R0005"/>
        <s v="R0006"/>
        <s v="R0007"/>
        <s v="R0008"/>
        <s v="R0009"/>
        <s v="R0010"/>
        <s v="R0011"/>
        <s v="R0012"/>
        <s v="R0013"/>
        <s v="R0014"/>
        <s v="R0015"/>
        <s v="R0016"/>
        <s v="R0017"/>
        <s v="R0018"/>
        <s v="R0019"/>
        <s v="R0020"/>
        <s v="R0021"/>
        <s v="R0022"/>
        <s v="R0023"/>
        <s v="R0024"/>
        <s v="R0025"/>
        <s v="R0026"/>
        <s v="R0027"/>
        <s v="R0028"/>
        <s v="R0029"/>
        <s v="R0030"/>
        <s v="R0031"/>
        <s v="R0032"/>
        <s v="R0033"/>
        <s v="R0034"/>
        <s v="R0035"/>
        <s v="R0036"/>
        <s v="R0037"/>
        <s v="R0038"/>
        <s v="R0039"/>
        <s v="R0040"/>
        <s v="R0041"/>
        <s v="R0042"/>
        <s v="R0043"/>
        <s v="R0044"/>
        <s v="R0045"/>
        <s v="R0046"/>
        <s v="R0047"/>
        <s v="R0048"/>
        <s v="R0049"/>
        <s v="R0050"/>
        <s v="R0051"/>
        <s v="R0052"/>
        <s v="R0053"/>
        <s v="R0054"/>
        <s v="R0055"/>
        <s v="R0056"/>
        <s v="R0057"/>
        <s v="R0058"/>
        <s v="R0059"/>
        <s v="R0060"/>
        <s v="R0061"/>
        <s v="R0062"/>
        <s v="R0063"/>
        <s v="R0064"/>
        <s v="R0065"/>
        <s v="R0066"/>
        <s v="R0067"/>
        <s v="R0068"/>
        <s v="R0069"/>
        <s v="R0070"/>
        <s v="R0071"/>
        <s v="R0072"/>
        <s v="R0073"/>
        <s v="R0074"/>
        <s v="R0075"/>
        <s v="R0076"/>
        <s v="R0077"/>
        <s v="R0078"/>
        <s v="R0079"/>
        <s v="R0080"/>
        <s v="R0081"/>
        <s v="R0082"/>
        <s v="R0083"/>
        <s v="R0084"/>
        <s v="R0085"/>
        <s v="R0086"/>
        <s v="R0087"/>
        <s v="R0088"/>
        <s v="R0089"/>
        <s v="R0090"/>
        <s v="R0091"/>
        <s v="R0092"/>
        <s v="R0093"/>
        <s v="R0094"/>
        <s v="R0095"/>
        <s v="R0096"/>
        <s v="R0097"/>
        <s v="R0098"/>
        <s v="R0099"/>
        <s v="R0100"/>
        <s v="R0101"/>
        <s v="R0102"/>
        <s v="R0103"/>
        <s v="R0104"/>
        <s v="R0105"/>
        <s v="R0106"/>
        <s v="R0107"/>
        <s v="R0108"/>
        <s v="R0109"/>
        <s v="R0110"/>
        <s v="R0111"/>
        <s v="R0112"/>
        <s v="R0113"/>
        <s v="R0114"/>
        <s v="R0115"/>
        <s v="R0116"/>
        <s v="R0117"/>
        <s v="R0118"/>
        <s v="R0119"/>
        <s v="R0120"/>
        <s v="R0121"/>
        <s v="R0122"/>
        <s v="R0123"/>
        <s v="R0124"/>
        <s v="R0125"/>
        <s v="R0126"/>
        <s v="R0127"/>
        <s v="R0128"/>
        <s v="R0129"/>
        <s v="R0130"/>
        <s v="R0131"/>
        <s v="R0132"/>
        <s v="R0133"/>
        <s v="R0134"/>
        <s v="R0135"/>
        <s v="R0136"/>
        <s v="R0137"/>
        <s v="R0138"/>
        <s v="R0139"/>
        <s v="R0140"/>
        <s v="R0141"/>
        <s v="R0142"/>
        <s v="R0143"/>
        <s v="R0144"/>
        <s v="R0145"/>
        <s v="R0146"/>
        <s v="R0147"/>
        <s v="R0148"/>
        <s v="R0149"/>
        <s v="R0150"/>
        <s v="R0151"/>
        <s v="R0152"/>
        <s v="R0153"/>
        <s v="R0154"/>
        <s v="R0155"/>
        <s v="R0156"/>
        <s v="R0157"/>
        <s v="R0158"/>
        <s v="R0159"/>
        <s v="R0160"/>
        <s v="R0161"/>
        <s v="R0162"/>
        <s v="R0163"/>
        <s v="R0164"/>
        <s v="R0165"/>
        <s v="R0166"/>
        <s v="R0167"/>
        <s v="R0168"/>
        <s v="R0169"/>
        <s v="R0170"/>
        <s v="R0171"/>
        <s v="R0172"/>
        <s v="R0173"/>
        <s v="R0174"/>
        <s v="R0175"/>
        <s v="R0176"/>
        <s v="R0177"/>
        <s v="R0178"/>
        <s v="R0179"/>
        <s v="R0180"/>
        <s v="R0181"/>
        <s v="R0182"/>
        <s v="R0183"/>
        <s v="R0184"/>
        <s v="R0185"/>
        <s v="R0186"/>
        <s v="R0187"/>
        <s v="R0188"/>
        <s v="R0189"/>
        <s v="R0190"/>
        <s v="R0191"/>
        <s v="R0192"/>
        <s v="R0193"/>
        <s v="R0194"/>
        <s v="R0195"/>
        <s v="R0196"/>
        <s v="R0197"/>
        <s v="R0198"/>
        <s v="R0199"/>
        <s v="R0200"/>
        <s v="R0201"/>
        <s v="R0202"/>
        <s v="R0203"/>
        <s v="R0204"/>
        <s v="R0205"/>
        <s v="R0206"/>
        <s v="R0207"/>
        <s v="R0208"/>
        <s v="R0209"/>
        <s v="R0210"/>
        <s v="R0211"/>
        <s v="R0212"/>
        <s v="R0213"/>
        <s v="R0214"/>
        <s v="R0215"/>
        <s v="R0216"/>
        <s v="R0217"/>
        <s v="R0218"/>
        <s v="R0219"/>
        <s v="R0220"/>
        <s v="R0221"/>
        <s v="R0222"/>
        <s v="R0223"/>
        <s v="R0224"/>
        <s v="R0225"/>
        <s v="R0226"/>
        <s v="R0227"/>
        <s v="R0228"/>
        <s v="R0229"/>
        <s v="R0230"/>
        <s v="R0231"/>
        <s v="R0232"/>
        <s v="R0233"/>
        <s v="R0234"/>
        <s v="R0235"/>
        <s v="R0236"/>
        <s v="R0237"/>
        <s v="R0238"/>
        <s v="R0239"/>
        <s v="R0240"/>
        <s v="R0241"/>
        <s v="R0242"/>
        <s v="R0243"/>
        <s v="R0244"/>
        <s v="R0245"/>
        <s v="R0246"/>
        <s v="R0247"/>
        <s v="R0248"/>
        <s v="R0249"/>
        <s v="R0250"/>
        <s v="R0251"/>
        <s v="R0252"/>
        <s v="R0253"/>
        <s v="R0254"/>
        <s v="R0255"/>
        <s v="R0256"/>
        <s v="R0257"/>
        <s v="R0258"/>
        <s v="R0259"/>
        <s v="R0260"/>
        <s v="R0261"/>
        <s v="R0262"/>
        <s v="R0263"/>
        <s v="R0264"/>
        <s v="R0265"/>
        <s v="R0266"/>
        <s v="R0267"/>
        <s v="R0268"/>
        <s v="R0269"/>
        <s v="R0270"/>
        <s v="R0271"/>
        <s v="R0272"/>
        <s v="R0273"/>
        <s v="R0274"/>
        <s v="R0275"/>
        <s v="R0276"/>
        <s v="R0277"/>
        <s v="R0278"/>
        <s v="R0279"/>
        <s v="R0280"/>
        <s v="R0281"/>
        <s v="R0282"/>
        <s v="R0283"/>
        <s v="R0284"/>
        <s v="R0285"/>
        <s v="R0286"/>
        <s v="R0287"/>
        <s v="R0288"/>
        <s v="R0289"/>
        <s v="R0290"/>
        <s v="R0291"/>
        <s v="R0292"/>
        <s v="R0293"/>
        <s v="R0294"/>
        <s v="R0295"/>
        <s v="R0296"/>
        <s v="R0297"/>
        <s v="R0298"/>
        <s v="R0299"/>
        <s v="R0300"/>
      </sharedItems>
    </cacheField>
    <cacheField name="Date" numFmtId="164">
      <sharedItems containsSemiMixedTypes="0" containsNonDate="0" containsDate="1" containsString="0" minDate="2026-08-01T00:00:00" maxDate="2026-08-31T00:00:00" count="30">
        <d v="2026-08-19T00:00:00"/>
        <d v="2026-08-10T00:00:00"/>
        <d v="2026-08-17T00:00:00"/>
        <d v="2026-08-11T00:00:00"/>
        <d v="2026-08-08T00:00:00"/>
        <d v="2026-08-06T00:00:00"/>
        <d v="2026-08-14T00:00:00"/>
        <d v="2026-08-30T00:00:00"/>
        <d v="2026-08-29T00:00:00"/>
        <d v="2026-08-26T00:00:00"/>
        <d v="2026-08-04T00:00:00"/>
        <d v="2026-08-13T00:00:00"/>
        <d v="2026-08-24T00:00:00"/>
        <d v="2026-08-01T00:00:00"/>
        <d v="2026-08-02T00:00:00"/>
        <d v="2026-08-18T00:00:00"/>
        <d v="2026-08-23T00:00:00"/>
        <d v="2026-08-03T00:00:00"/>
        <d v="2026-08-25T00:00:00"/>
        <d v="2026-08-22T00:00:00"/>
        <d v="2026-08-09T00:00:00"/>
        <d v="2026-08-20T00:00:00"/>
        <d v="2026-08-16T00:00:00"/>
        <d v="2026-08-07T00:00:00"/>
        <d v="2026-08-12T00:00:00"/>
        <d v="2026-08-21T00:00:00"/>
        <d v="2026-08-15T00:00:00"/>
        <d v="2026-08-28T00:00:00"/>
        <d v="2026-08-27T00:00:00"/>
        <d v="2026-08-05T00:00:00"/>
      </sharedItems>
    </cacheField>
    <cacheField name="Student_ID" numFmtId="0">
      <sharedItems count="15">
        <s v="ST013"/>
        <s v="ST010"/>
        <s v="ST009"/>
        <s v="ST012"/>
        <s v="ST001"/>
        <s v="ST011"/>
        <s v="ST008"/>
        <s v="ST006"/>
        <s v="ST004"/>
        <s v="ST003"/>
        <s v="ST005"/>
        <s v="ST014"/>
        <s v="ST015"/>
        <s v="ST007"/>
        <s v="ST002"/>
      </sharedItems>
    </cacheField>
    <cacheField name="Student_Name" numFmtId="0">
      <sharedItems count="15">
        <s v="Naveen"/>
        <s v="Neha"/>
        <s v="Vikaram"/>
        <s v="Pooja"/>
        <s v="Rahul"/>
        <s v="Sai"/>
        <s v="Divya"/>
        <s v="Anjali"/>
        <s v="Sneha"/>
        <s v="Arjun"/>
        <s v="Kiran"/>
        <s v="Kavya"/>
        <s v="Akhil"/>
        <s v="Rohit"/>
        <s v="Priya"/>
      </sharedItems>
    </cacheField>
    <cacheField name="Gender" numFmtId="0">
      <sharedItems count="2">
        <s v="Male"/>
        <s v="Female"/>
      </sharedItems>
    </cacheField>
    <cacheField name="Grade" numFmtId="0">
      <sharedItems containsSemiMixedTypes="0" containsString="0" containsNumber="1" containsInteger="1" minValue="0" maxValue="12" count="5">
        <n v="10"/>
        <n v="11"/>
        <n v="12"/>
        <n v="9"/>
        <n v="0"/>
      </sharedItems>
    </cacheField>
    <cacheField name="Class" numFmtId="0">
      <sharedItems count="2">
        <s v="A"/>
        <s v="B"/>
      </sharedItems>
    </cacheField>
    <cacheField name="Subject" numFmtId="0">
      <sharedItems count="6">
        <s v="Chemistry"/>
        <s v="Mathematics"/>
        <s v="English"/>
        <s v="Computer Science"/>
        <s v="Biology"/>
        <s v="Physics"/>
      </sharedItems>
    </cacheField>
    <cacheField name="Topic" numFmtId="0">
      <sharedItems/>
    </cacheField>
    <cacheField name="Study_Session" numFmtId="0">
      <sharedItems count="4">
        <s v="Evening"/>
        <s v="Afternoon"/>
        <s v="Night"/>
        <s v="Morning"/>
      </sharedItems>
    </cacheField>
    <cacheField name="Planned_Hours" numFmtId="0">
      <sharedItems containsSemiMixedTypes="0" containsString="0" containsNumber="1" containsInteger="1" minValue="1" maxValue="4"/>
    </cacheField>
    <cacheField name="Actual_Study_Hours" numFmtId="0">
      <sharedItems containsSemiMixedTypes="0" containsString="0" containsNumber="1" minValue="0.6" maxValue="4"/>
    </cacheField>
    <cacheField name="Assignment_Given" numFmtId="0">
      <sharedItems count="1">
        <s v="Yes"/>
      </sharedItems>
    </cacheField>
    <cacheField name="Assignment_Completed" numFmtId="0">
      <sharedItems count="2">
        <s v="NO"/>
        <s v="YES"/>
      </sharedItems>
    </cacheField>
    <cacheField name="Test_Score" numFmtId="0">
      <sharedItems containsSemiMixedTypes="0" containsString="0" containsNumber="1" containsInteger="1" minValue="30" maxValue="100" count="42">
        <n v="88"/>
        <n v="86"/>
        <n v="78"/>
        <n v="80"/>
        <n v="72"/>
        <n v="83"/>
        <n v="45"/>
        <n v="40"/>
        <n v="82"/>
        <n v="93"/>
        <n v="75"/>
        <n v="90"/>
        <n v="69"/>
        <n v="89"/>
        <n v="87"/>
        <n v="76"/>
        <n v="66"/>
        <n v="91"/>
        <n v="61"/>
        <n v="85"/>
        <n v="84"/>
        <n v="77"/>
        <n v="79"/>
        <n v="62"/>
        <n v="64"/>
        <n v="71"/>
        <n v="97"/>
        <n v="92"/>
        <n v="74"/>
        <n v="81"/>
        <n v="73"/>
        <n v="67"/>
        <n v="95"/>
        <n v="68"/>
        <n v="94"/>
        <n v="30"/>
        <n v="99"/>
        <n v="70"/>
        <n v="96"/>
        <n v="100"/>
        <n v="63"/>
        <n v="59"/>
      </sharedItems>
    </cacheField>
    <cacheField name="Attendence_Status" numFmtId="0">
      <sharedItems count="3">
        <s v="Late"/>
        <s v="Present"/>
        <s v="Absent"/>
      </sharedItems>
    </cacheField>
    <cacheField name="Attendance_Percentage" numFmtId="9">
      <sharedItems containsSemiMixedTypes="0" containsString="0" containsNumber="1" minValue="0" maxValue="1" count="11">
        <n v="0.8"/>
        <n v="1"/>
        <n v="0"/>
        <n v="0.75"/>
        <n v="0.78"/>
        <n v="0.85"/>
        <n v="0.45"/>
        <n v="0.88"/>
        <n v="0.95"/>
        <n v="0.77"/>
        <n v="0.79"/>
      </sharedItems>
    </cacheField>
    <cacheField name="Diffculty_Level" numFmtId="0">
      <sharedItems count="3">
        <s v="Hard"/>
        <s v="Medium"/>
        <s v="Easy"/>
      </sharedItems>
    </cacheField>
    <cacheField name="Study_Method" numFmtId="0">
      <sharedItems count="6">
        <s v="Revision"/>
        <s v="Vedio Learning"/>
        <s v="Practice"/>
        <s v="Self Study"/>
        <s v="Group Study"/>
        <s v="Online Class"/>
      </sharedItems>
    </cacheField>
    <cacheField name="Teacher" numFmtId="0">
      <sharedItems count="6">
        <s v="Mr.David"/>
        <s v="Ms.Anitha"/>
        <s v="Ms.Priya"/>
        <s v="Mr.Raj"/>
        <s v="Mr.Kumar"/>
        <s v="Ms.Sneha"/>
      </sharedItems>
    </cacheField>
    <cacheField name="Remarks" numFmtId="0">
      <sharedItems count="4">
        <s v="Good Performance"/>
        <s v="Average Perfornance"/>
        <s v="Needs Improvement"/>
        <s v="Excellent Performance"/>
      </sharedItems>
    </cacheField>
    <cacheField name="Week_No" numFmtId="0">
      <sharedItems containsSemiMixedTypes="0" containsString="0" containsNumber="1" containsInteger="1" minValue="31" maxValue="35" count="5">
        <n v="34"/>
        <n v="33"/>
        <n v="32"/>
        <n v="35"/>
        <n v="31"/>
      </sharedItems>
    </cacheField>
  </cacheFields>
  <extLst>
    <ext xmlns:x14="http://schemas.microsoft.com/office/spreadsheetml/2009/9/main" uri="{725AE2AE-9491-48be-B2B4-4EB974FC3084}">
      <x14:pivotCacheDefinition pivotCacheId="3011030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x v="0"/>
    <x v="0"/>
    <x v="0"/>
    <x v="0"/>
    <x v="0"/>
    <x v="0"/>
    <x v="0"/>
    <x v="0"/>
    <s v="Force"/>
    <x v="0"/>
    <n v="4"/>
    <n v="3.2"/>
    <x v="0"/>
    <x v="0"/>
    <x v="0"/>
    <x v="0"/>
    <x v="0"/>
    <x v="0"/>
    <x v="0"/>
    <x v="0"/>
    <x v="0"/>
    <x v="0"/>
  </r>
  <r>
    <x v="1"/>
    <x v="1"/>
    <x v="1"/>
    <x v="1"/>
    <x v="1"/>
    <x v="1"/>
    <x v="1"/>
    <x v="0"/>
    <s v="Chemical Bonding"/>
    <x v="1"/>
    <n v="4"/>
    <n v="2.8"/>
    <x v="0"/>
    <x v="0"/>
    <x v="1"/>
    <x v="0"/>
    <x v="0"/>
    <x v="1"/>
    <x v="0"/>
    <x v="1"/>
    <x v="0"/>
    <x v="1"/>
  </r>
  <r>
    <x v="2"/>
    <x v="2"/>
    <x v="1"/>
    <x v="1"/>
    <x v="1"/>
    <x v="1"/>
    <x v="1"/>
    <x v="0"/>
    <s v="Human Body"/>
    <x v="2"/>
    <n v="4"/>
    <n v="2.9"/>
    <x v="0"/>
    <x v="1"/>
    <x v="2"/>
    <x v="1"/>
    <x v="1"/>
    <x v="0"/>
    <x v="1"/>
    <x v="0"/>
    <x v="1"/>
    <x v="0"/>
  </r>
  <r>
    <x v="3"/>
    <x v="3"/>
    <x v="1"/>
    <x v="1"/>
    <x v="1"/>
    <x v="1"/>
    <x v="1"/>
    <x v="1"/>
    <s v="Human Body"/>
    <x v="1"/>
    <n v="1"/>
    <n v="0.8"/>
    <x v="0"/>
    <x v="1"/>
    <x v="3"/>
    <x v="1"/>
    <x v="1"/>
    <x v="1"/>
    <x v="2"/>
    <x v="2"/>
    <x v="0"/>
    <x v="1"/>
  </r>
  <r>
    <x v="4"/>
    <x v="4"/>
    <x v="2"/>
    <x v="2"/>
    <x v="0"/>
    <x v="0"/>
    <x v="1"/>
    <x v="2"/>
    <s v="Chemical Bonding"/>
    <x v="1"/>
    <n v="1"/>
    <n v="1"/>
    <x v="0"/>
    <x v="1"/>
    <x v="4"/>
    <x v="2"/>
    <x v="2"/>
    <x v="2"/>
    <x v="2"/>
    <x v="3"/>
    <x v="2"/>
    <x v="2"/>
  </r>
  <r>
    <x v="5"/>
    <x v="5"/>
    <x v="3"/>
    <x v="3"/>
    <x v="1"/>
    <x v="2"/>
    <x v="0"/>
    <x v="3"/>
    <s v="Human Body"/>
    <x v="2"/>
    <n v="1"/>
    <n v="0.6"/>
    <x v="0"/>
    <x v="1"/>
    <x v="2"/>
    <x v="2"/>
    <x v="3"/>
    <x v="0"/>
    <x v="3"/>
    <x v="3"/>
    <x v="2"/>
    <x v="2"/>
  </r>
  <r>
    <x v="6"/>
    <x v="6"/>
    <x v="0"/>
    <x v="0"/>
    <x v="0"/>
    <x v="0"/>
    <x v="0"/>
    <x v="3"/>
    <s v="Human Body"/>
    <x v="0"/>
    <n v="4"/>
    <n v="2.8"/>
    <x v="0"/>
    <x v="1"/>
    <x v="5"/>
    <x v="1"/>
    <x v="1"/>
    <x v="1"/>
    <x v="3"/>
    <x v="3"/>
    <x v="0"/>
    <x v="1"/>
  </r>
  <r>
    <x v="7"/>
    <x v="7"/>
    <x v="4"/>
    <x v="4"/>
    <x v="0"/>
    <x v="0"/>
    <x v="0"/>
    <x v="0"/>
    <s v="Human Body"/>
    <x v="2"/>
    <n v="2"/>
    <n v="1.7"/>
    <x v="0"/>
    <x v="0"/>
    <x v="6"/>
    <x v="0"/>
    <x v="0"/>
    <x v="2"/>
    <x v="1"/>
    <x v="4"/>
    <x v="1"/>
    <x v="3"/>
  </r>
  <r>
    <x v="8"/>
    <x v="8"/>
    <x v="5"/>
    <x v="5"/>
    <x v="0"/>
    <x v="3"/>
    <x v="1"/>
    <x v="3"/>
    <s v="Human Body"/>
    <x v="2"/>
    <n v="3"/>
    <n v="2.8"/>
    <x v="0"/>
    <x v="1"/>
    <x v="7"/>
    <x v="1"/>
    <x v="1"/>
    <x v="0"/>
    <x v="1"/>
    <x v="4"/>
    <x v="3"/>
    <x v="3"/>
  </r>
  <r>
    <x v="9"/>
    <x v="9"/>
    <x v="6"/>
    <x v="6"/>
    <x v="1"/>
    <x v="2"/>
    <x v="1"/>
    <x v="4"/>
    <s v="Genetics"/>
    <x v="1"/>
    <n v="4"/>
    <n v="3.5"/>
    <x v="0"/>
    <x v="1"/>
    <x v="3"/>
    <x v="0"/>
    <x v="4"/>
    <x v="0"/>
    <x v="3"/>
    <x v="1"/>
    <x v="1"/>
    <x v="3"/>
  </r>
  <r>
    <x v="10"/>
    <x v="1"/>
    <x v="7"/>
    <x v="7"/>
    <x v="1"/>
    <x v="1"/>
    <x v="0"/>
    <x v="0"/>
    <s v="Human Body"/>
    <x v="3"/>
    <n v="1"/>
    <n v="0.9"/>
    <x v="0"/>
    <x v="1"/>
    <x v="5"/>
    <x v="0"/>
    <x v="0"/>
    <x v="1"/>
    <x v="3"/>
    <x v="3"/>
    <x v="0"/>
    <x v="1"/>
  </r>
  <r>
    <x v="11"/>
    <x v="10"/>
    <x v="8"/>
    <x v="8"/>
    <x v="1"/>
    <x v="4"/>
    <x v="1"/>
    <x v="0"/>
    <s v="Human Body"/>
    <x v="1"/>
    <n v="3"/>
    <n v="2.1"/>
    <x v="0"/>
    <x v="1"/>
    <x v="8"/>
    <x v="0"/>
    <x v="0"/>
    <x v="2"/>
    <x v="4"/>
    <x v="1"/>
    <x v="1"/>
    <x v="2"/>
  </r>
  <r>
    <x v="12"/>
    <x v="11"/>
    <x v="3"/>
    <x v="3"/>
    <x v="1"/>
    <x v="2"/>
    <x v="0"/>
    <x v="0"/>
    <s v="Human Body"/>
    <x v="3"/>
    <n v="2"/>
    <n v="2"/>
    <x v="0"/>
    <x v="1"/>
    <x v="9"/>
    <x v="1"/>
    <x v="1"/>
    <x v="2"/>
    <x v="2"/>
    <x v="2"/>
    <x v="3"/>
    <x v="1"/>
  </r>
  <r>
    <x v="13"/>
    <x v="12"/>
    <x v="9"/>
    <x v="9"/>
    <x v="0"/>
    <x v="1"/>
    <x v="1"/>
    <x v="0"/>
    <s v="Human Body"/>
    <x v="3"/>
    <n v="3"/>
    <n v="1.9"/>
    <x v="0"/>
    <x v="1"/>
    <x v="10"/>
    <x v="1"/>
    <x v="1"/>
    <x v="1"/>
    <x v="0"/>
    <x v="5"/>
    <x v="2"/>
    <x v="3"/>
  </r>
  <r>
    <x v="14"/>
    <x v="0"/>
    <x v="10"/>
    <x v="10"/>
    <x v="0"/>
    <x v="2"/>
    <x v="0"/>
    <x v="0"/>
    <s v="Human Body"/>
    <x v="0"/>
    <n v="3"/>
    <n v="2.1"/>
    <x v="0"/>
    <x v="1"/>
    <x v="11"/>
    <x v="0"/>
    <x v="0"/>
    <x v="0"/>
    <x v="1"/>
    <x v="1"/>
    <x v="1"/>
    <x v="0"/>
  </r>
  <r>
    <x v="15"/>
    <x v="13"/>
    <x v="11"/>
    <x v="11"/>
    <x v="1"/>
    <x v="1"/>
    <x v="0"/>
    <x v="0"/>
    <s v="Human Body"/>
    <x v="1"/>
    <n v="4"/>
    <n v="3"/>
    <x v="0"/>
    <x v="0"/>
    <x v="12"/>
    <x v="1"/>
    <x v="1"/>
    <x v="0"/>
    <x v="2"/>
    <x v="0"/>
    <x v="2"/>
    <x v="4"/>
  </r>
  <r>
    <x v="16"/>
    <x v="3"/>
    <x v="12"/>
    <x v="12"/>
    <x v="0"/>
    <x v="3"/>
    <x v="0"/>
    <x v="0"/>
    <s v="Human Body"/>
    <x v="1"/>
    <n v="2"/>
    <n v="2"/>
    <x v="0"/>
    <x v="1"/>
    <x v="13"/>
    <x v="1"/>
    <x v="1"/>
    <x v="2"/>
    <x v="3"/>
    <x v="0"/>
    <x v="0"/>
    <x v="1"/>
  </r>
  <r>
    <x v="17"/>
    <x v="14"/>
    <x v="0"/>
    <x v="0"/>
    <x v="0"/>
    <x v="0"/>
    <x v="0"/>
    <x v="0"/>
    <s v="Human Body"/>
    <x v="1"/>
    <n v="3"/>
    <n v="2.9"/>
    <x v="0"/>
    <x v="1"/>
    <x v="14"/>
    <x v="0"/>
    <x v="0"/>
    <x v="1"/>
    <x v="1"/>
    <x v="1"/>
    <x v="0"/>
    <x v="4"/>
  </r>
  <r>
    <x v="18"/>
    <x v="15"/>
    <x v="8"/>
    <x v="8"/>
    <x v="1"/>
    <x v="4"/>
    <x v="1"/>
    <x v="0"/>
    <s v="Human Body"/>
    <x v="1"/>
    <n v="4"/>
    <n v="4"/>
    <x v="0"/>
    <x v="1"/>
    <x v="15"/>
    <x v="1"/>
    <x v="1"/>
    <x v="1"/>
    <x v="2"/>
    <x v="0"/>
    <x v="1"/>
    <x v="0"/>
  </r>
  <r>
    <x v="19"/>
    <x v="16"/>
    <x v="10"/>
    <x v="10"/>
    <x v="0"/>
    <x v="2"/>
    <x v="0"/>
    <x v="5"/>
    <s v="Human Body"/>
    <x v="1"/>
    <n v="2"/>
    <n v="1.6"/>
    <x v="0"/>
    <x v="0"/>
    <x v="16"/>
    <x v="0"/>
    <x v="0"/>
    <x v="1"/>
    <x v="5"/>
    <x v="5"/>
    <x v="2"/>
    <x v="0"/>
  </r>
  <r>
    <x v="20"/>
    <x v="14"/>
    <x v="7"/>
    <x v="7"/>
    <x v="1"/>
    <x v="1"/>
    <x v="0"/>
    <x v="0"/>
    <s v="Human Body"/>
    <x v="2"/>
    <n v="3"/>
    <n v="2"/>
    <x v="0"/>
    <x v="1"/>
    <x v="5"/>
    <x v="1"/>
    <x v="1"/>
    <x v="1"/>
    <x v="2"/>
    <x v="2"/>
    <x v="0"/>
    <x v="4"/>
  </r>
  <r>
    <x v="21"/>
    <x v="5"/>
    <x v="4"/>
    <x v="4"/>
    <x v="0"/>
    <x v="0"/>
    <x v="0"/>
    <x v="0"/>
    <s v="Human Body"/>
    <x v="2"/>
    <n v="1"/>
    <n v="0.7"/>
    <x v="0"/>
    <x v="1"/>
    <x v="17"/>
    <x v="0"/>
    <x v="0"/>
    <x v="0"/>
    <x v="4"/>
    <x v="2"/>
    <x v="0"/>
    <x v="2"/>
  </r>
  <r>
    <x v="22"/>
    <x v="17"/>
    <x v="8"/>
    <x v="8"/>
    <x v="1"/>
    <x v="4"/>
    <x v="1"/>
    <x v="0"/>
    <s v="Human Body"/>
    <x v="0"/>
    <n v="4"/>
    <n v="3.7"/>
    <x v="0"/>
    <x v="1"/>
    <x v="17"/>
    <x v="2"/>
    <x v="2"/>
    <x v="0"/>
    <x v="2"/>
    <x v="0"/>
    <x v="2"/>
    <x v="2"/>
  </r>
  <r>
    <x v="23"/>
    <x v="0"/>
    <x v="7"/>
    <x v="7"/>
    <x v="1"/>
    <x v="1"/>
    <x v="0"/>
    <x v="0"/>
    <s v="Human Body"/>
    <x v="3"/>
    <n v="3"/>
    <n v="2.1"/>
    <x v="0"/>
    <x v="1"/>
    <x v="18"/>
    <x v="2"/>
    <x v="2"/>
    <x v="2"/>
    <x v="4"/>
    <x v="2"/>
    <x v="2"/>
    <x v="0"/>
  </r>
  <r>
    <x v="24"/>
    <x v="18"/>
    <x v="3"/>
    <x v="3"/>
    <x v="1"/>
    <x v="2"/>
    <x v="0"/>
    <x v="0"/>
    <s v="Human Body"/>
    <x v="1"/>
    <n v="4"/>
    <n v="2.6"/>
    <x v="0"/>
    <x v="1"/>
    <x v="19"/>
    <x v="2"/>
    <x v="2"/>
    <x v="2"/>
    <x v="3"/>
    <x v="2"/>
    <x v="2"/>
    <x v="3"/>
  </r>
  <r>
    <x v="25"/>
    <x v="19"/>
    <x v="10"/>
    <x v="10"/>
    <x v="0"/>
    <x v="2"/>
    <x v="0"/>
    <x v="0"/>
    <s v="Human Body"/>
    <x v="0"/>
    <n v="1"/>
    <n v="0.6"/>
    <x v="0"/>
    <x v="1"/>
    <x v="20"/>
    <x v="2"/>
    <x v="2"/>
    <x v="2"/>
    <x v="5"/>
    <x v="0"/>
    <x v="2"/>
    <x v="0"/>
  </r>
  <r>
    <x v="26"/>
    <x v="0"/>
    <x v="7"/>
    <x v="7"/>
    <x v="1"/>
    <x v="1"/>
    <x v="0"/>
    <x v="0"/>
    <s v="Human Body"/>
    <x v="3"/>
    <n v="1"/>
    <n v="0.8"/>
    <x v="0"/>
    <x v="1"/>
    <x v="8"/>
    <x v="0"/>
    <x v="0"/>
    <x v="2"/>
    <x v="4"/>
    <x v="4"/>
    <x v="1"/>
    <x v="0"/>
  </r>
  <r>
    <x v="27"/>
    <x v="2"/>
    <x v="12"/>
    <x v="12"/>
    <x v="0"/>
    <x v="3"/>
    <x v="0"/>
    <x v="0"/>
    <s v="Human Body"/>
    <x v="2"/>
    <n v="2"/>
    <n v="1.5"/>
    <x v="0"/>
    <x v="1"/>
    <x v="19"/>
    <x v="2"/>
    <x v="2"/>
    <x v="2"/>
    <x v="0"/>
    <x v="2"/>
    <x v="2"/>
    <x v="0"/>
  </r>
  <r>
    <x v="28"/>
    <x v="1"/>
    <x v="4"/>
    <x v="4"/>
    <x v="0"/>
    <x v="0"/>
    <x v="0"/>
    <x v="0"/>
    <s v="Human Body"/>
    <x v="0"/>
    <n v="1"/>
    <n v="0.6"/>
    <x v="0"/>
    <x v="1"/>
    <x v="5"/>
    <x v="2"/>
    <x v="2"/>
    <x v="0"/>
    <x v="3"/>
    <x v="3"/>
    <x v="2"/>
    <x v="1"/>
  </r>
  <r>
    <x v="29"/>
    <x v="10"/>
    <x v="13"/>
    <x v="13"/>
    <x v="0"/>
    <x v="3"/>
    <x v="0"/>
    <x v="0"/>
    <s v="Human Body"/>
    <x v="1"/>
    <n v="2"/>
    <n v="1.7"/>
    <x v="0"/>
    <x v="1"/>
    <x v="1"/>
    <x v="1"/>
    <x v="1"/>
    <x v="2"/>
    <x v="2"/>
    <x v="4"/>
    <x v="0"/>
    <x v="2"/>
  </r>
  <r>
    <x v="30"/>
    <x v="10"/>
    <x v="0"/>
    <x v="0"/>
    <x v="0"/>
    <x v="0"/>
    <x v="0"/>
    <x v="0"/>
    <s v="Human Body"/>
    <x v="1"/>
    <n v="2"/>
    <n v="1.5"/>
    <x v="0"/>
    <x v="1"/>
    <x v="21"/>
    <x v="0"/>
    <x v="0"/>
    <x v="2"/>
    <x v="5"/>
    <x v="1"/>
    <x v="1"/>
    <x v="2"/>
  </r>
  <r>
    <x v="31"/>
    <x v="0"/>
    <x v="3"/>
    <x v="3"/>
    <x v="1"/>
    <x v="2"/>
    <x v="0"/>
    <x v="0"/>
    <s v="Human Body"/>
    <x v="2"/>
    <n v="2"/>
    <n v="1.8"/>
    <x v="0"/>
    <x v="1"/>
    <x v="22"/>
    <x v="1"/>
    <x v="1"/>
    <x v="0"/>
    <x v="1"/>
    <x v="1"/>
    <x v="1"/>
    <x v="0"/>
  </r>
  <r>
    <x v="32"/>
    <x v="19"/>
    <x v="5"/>
    <x v="5"/>
    <x v="0"/>
    <x v="3"/>
    <x v="1"/>
    <x v="0"/>
    <s v="Human Body"/>
    <x v="0"/>
    <n v="1"/>
    <n v="0.6"/>
    <x v="0"/>
    <x v="1"/>
    <x v="2"/>
    <x v="2"/>
    <x v="2"/>
    <x v="1"/>
    <x v="1"/>
    <x v="2"/>
    <x v="2"/>
    <x v="0"/>
  </r>
  <r>
    <x v="33"/>
    <x v="14"/>
    <x v="13"/>
    <x v="13"/>
    <x v="0"/>
    <x v="3"/>
    <x v="0"/>
    <x v="0"/>
    <s v="Human Body"/>
    <x v="3"/>
    <n v="4"/>
    <n v="3.4"/>
    <x v="0"/>
    <x v="1"/>
    <x v="19"/>
    <x v="2"/>
    <x v="2"/>
    <x v="1"/>
    <x v="5"/>
    <x v="0"/>
    <x v="2"/>
    <x v="4"/>
  </r>
  <r>
    <x v="34"/>
    <x v="20"/>
    <x v="12"/>
    <x v="12"/>
    <x v="0"/>
    <x v="3"/>
    <x v="0"/>
    <x v="0"/>
    <s v="Human Body"/>
    <x v="2"/>
    <n v="3"/>
    <n v="2.7"/>
    <x v="0"/>
    <x v="0"/>
    <x v="10"/>
    <x v="0"/>
    <x v="0"/>
    <x v="2"/>
    <x v="1"/>
    <x v="1"/>
    <x v="1"/>
    <x v="2"/>
  </r>
  <r>
    <x v="35"/>
    <x v="21"/>
    <x v="8"/>
    <x v="8"/>
    <x v="1"/>
    <x v="4"/>
    <x v="1"/>
    <x v="0"/>
    <s v="Human Body"/>
    <x v="0"/>
    <n v="4"/>
    <n v="4"/>
    <x v="0"/>
    <x v="1"/>
    <x v="16"/>
    <x v="1"/>
    <x v="1"/>
    <x v="0"/>
    <x v="1"/>
    <x v="0"/>
    <x v="3"/>
    <x v="0"/>
  </r>
  <r>
    <x v="36"/>
    <x v="0"/>
    <x v="10"/>
    <x v="10"/>
    <x v="0"/>
    <x v="2"/>
    <x v="0"/>
    <x v="0"/>
    <s v="Human Body"/>
    <x v="3"/>
    <n v="4"/>
    <n v="2.8"/>
    <x v="0"/>
    <x v="0"/>
    <x v="23"/>
    <x v="2"/>
    <x v="2"/>
    <x v="0"/>
    <x v="5"/>
    <x v="0"/>
    <x v="2"/>
    <x v="0"/>
  </r>
  <r>
    <x v="37"/>
    <x v="22"/>
    <x v="1"/>
    <x v="1"/>
    <x v="1"/>
    <x v="1"/>
    <x v="1"/>
    <x v="0"/>
    <s v="Human Body"/>
    <x v="3"/>
    <n v="1"/>
    <n v="0.7"/>
    <x v="0"/>
    <x v="0"/>
    <x v="24"/>
    <x v="2"/>
    <x v="2"/>
    <x v="0"/>
    <x v="4"/>
    <x v="5"/>
    <x v="2"/>
    <x v="1"/>
  </r>
  <r>
    <x v="38"/>
    <x v="1"/>
    <x v="5"/>
    <x v="5"/>
    <x v="0"/>
    <x v="3"/>
    <x v="1"/>
    <x v="0"/>
    <s v="Human Body"/>
    <x v="0"/>
    <n v="2"/>
    <n v="1.7"/>
    <x v="0"/>
    <x v="1"/>
    <x v="12"/>
    <x v="0"/>
    <x v="0"/>
    <x v="0"/>
    <x v="3"/>
    <x v="5"/>
    <x v="2"/>
    <x v="1"/>
  </r>
  <r>
    <x v="39"/>
    <x v="10"/>
    <x v="10"/>
    <x v="10"/>
    <x v="0"/>
    <x v="2"/>
    <x v="0"/>
    <x v="0"/>
    <s v="Human Body"/>
    <x v="2"/>
    <n v="1"/>
    <n v="0.7"/>
    <x v="0"/>
    <x v="1"/>
    <x v="15"/>
    <x v="0"/>
    <x v="0"/>
    <x v="1"/>
    <x v="2"/>
    <x v="3"/>
    <x v="1"/>
    <x v="2"/>
  </r>
  <r>
    <x v="40"/>
    <x v="15"/>
    <x v="12"/>
    <x v="12"/>
    <x v="0"/>
    <x v="3"/>
    <x v="0"/>
    <x v="0"/>
    <s v="Human Body"/>
    <x v="3"/>
    <n v="3"/>
    <n v="2.2000000000000002"/>
    <x v="0"/>
    <x v="1"/>
    <x v="17"/>
    <x v="0"/>
    <x v="0"/>
    <x v="2"/>
    <x v="1"/>
    <x v="0"/>
    <x v="1"/>
    <x v="0"/>
  </r>
  <r>
    <x v="41"/>
    <x v="2"/>
    <x v="6"/>
    <x v="6"/>
    <x v="1"/>
    <x v="2"/>
    <x v="1"/>
    <x v="0"/>
    <s v="Human Body"/>
    <x v="2"/>
    <n v="3"/>
    <n v="2.7"/>
    <x v="0"/>
    <x v="1"/>
    <x v="10"/>
    <x v="0"/>
    <x v="0"/>
    <x v="0"/>
    <x v="2"/>
    <x v="5"/>
    <x v="1"/>
    <x v="0"/>
  </r>
  <r>
    <x v="42"/>
    <x v="23"/>
    <x v="13"/>
    <x v="13"/>
    <x v="0"/>
    <x v="3"/>
    <x v="0"/>
    <x v="0"/>
    <s v="Human Body"/>
    <x v="2"/>
    <n v="3"/>
    <n v="2.2999999999999998"/>
    <x v="0"/>
    <x v="1"/>
    <x v="17"/>
    <x v="0"/>
    <x v="0"/>
    <x v="1"/>
    <x v="1"/>
    <x v="0"/>
    <x v="1"/>
    <x v="2"/>
  </r>
  <r>
    <x v="43"/>
    <x v="5"/>
    <x v="3"/>
    <x v="3"/>
    <x v="1"/>
    <x v="2"/>
    <x v="0"/>
    <x v="0"/>
    <s v="Human Body"/>
    <x v="3"/>
    <n v="1"/>
    <n v="0.7"/>
    <x v="0"/>
    <x v="1"/>
    <x v="22"/>
    <x v="1"/>
    <x v="1"/>
    <x v="0"/>
    <x v="4"/>
    <x v="2"/>
    <x v="1"/>
    <x v="2"/>
  </r>
  <r>
    <x v="44"/>
    <x v="22"/>
    <x v="12"/>
    <x v="12"/>
    <x v="0"/>
    <x v="3"/>
    <x v="0"/>
    <x v="0"/>
    <s v="Human Body"/>
    <x v="0"/>
    <n v="1"/>
    <n v="0.8"/>
    <x v="0"/>
    <x v="1"/>
    <x v="25"/>
    <x v="0"/>
    <x v="0"/>
    <x v="2"/>
    <x v="4"/>
    <x v="2"/>
    <x v="1"/>
    <x v="1"/>
  </r>
  <r>
    <x v="45"/>
    <x v="1"/>
    <x v="14"/>
    <x v="14"/>
    <x v="1"/>
    <x v="0"/>
    <x v="0"/>
    <x v="0"/>
    <s v="Human Body"/>
    <x v="0"/>
    <n v="2"/>
    <n v="1.3"/>
    <x v="0"/>
    <x v="1"/>
    <x v="8"/>
    <x v="2"/>
    <x v="2"/>
    <x v="2"/>
    <x v="5"/>
    <x v="0"/>
    <x v="2"/>
    <x v="1"/>
  </r>
  <r>
    <x v="46"/>
    <x v="24"/>
    <x v="4"/>
    <x v="4"/>
    <x v="0"/>
    <x v="0"/>
    <x v="0"/>
    <x v="0"/>
    <s v="Human Body"/>
    <x v="2"/>
    <n v="3"/>
    <n v="2.9"/>
    <x v="0"/>
    <x v="1"/>
    <x v="3"/>
    <x v="0"/>
    <x v="0"/>
    <x v="0"/>
    <x v="2"/>
    <x v="3"/>
    <x v="1"/>
    <x v="1"/>
  </r>
  <r>
    <x v="47"/>
    <x v="25"/>
    <x v="2"/>
    <x v="2"/>
    <x v="0"/>
    <x v="0"/>
    <x v="1"/>
    <x v="0"/>
    <s v="Human Body"/>
    <x v="3"/>
    <n v="4"/>
    <n v="4"/>
    <x v="0"/>
    <x v="1"/>
    <x v="26"/>
    <x v="0"/>
    <x v="0"/>
    <x v="1"/>
    <x v="0"/>
    <x v="5"/>
    <x v="1"/>
    <x v="0"/>
  </r>
  <r>
    <x v="48"/>
    <x v="18"/>
    <x v="6"/>
    <x v="6"/>
    <x v="1"/>
    <x v="2"/>
    <x v="1"/>
    <x v="0"/>
    <s v="Human Body"/>
    <x v="0"/>
    <n v="4"/>
    <n v="2.7"/>
    <x v="0"/>
    <x v="1"/>
    <x v="4"/>
    <x v="0"/>
    <x v="0"/>
    <x v="2"/>
    <x v="1"/>
    <x v="0"/>
    <x v="1"/>
    <x v="3"/>
  </r>
  <r>
    <x v="49"/>
    <x v="22"/>
    <x v="10"/>
    <x v="10"/>
    <x v="0"/>
    <x v="2"/>
    <x v="0"/>
    <x v="0"/>
    <s v="Human Body"/>
    <x v="2"/>
    <n v="2"/>
    <n v="1.6"/>
    <x v="0"/>
    <x v="0"/>
    <x v="15"/>
    <x v="2"/>
    <x v="3"/>
    <x v="1"/>
    <x v="3"/>
    <x v="4"/>
    <x v="2"/>
    <x v="1"/>
  </r>
  <r>
    <x v="50"/>
    <x v="0"/>
    <x v="12"/>
    <x v="12"/>
    <x v="0"/>
    <x v="3"/>
    <x v="0"/>
    <x v="0"/>
    <s v="Human Body"/>
    <x v="0"/>
    <n v="1"/>
    <n v="0.8"/>
    <x v="0"/>
    <x v="1"/>
    <x v="27"/>
    <x v="0"/>
    <x v="0"/>
    <x v="0"/>
    <x v="3"/>
    <x v="3"/>
    <x v="0"/>
    <x v="0"/>
  </r>
  <r>
    <x v="51"/>
    <x v="25"/>
    <x v="4"/>
    <x v="4"/>
    <x v="0"/>
    <x v="0"/>
    <x v="0"/>
    <x v="0"/>
    <s v="Human Body"/>
    <x v="2"/>
    <n v="4"/>
    <n v="3.5"/>
    <x v="0"/>
    <x v="1"/>
    <x v="15"/>
    <x v="0"/>
    <x v="0"/>
    <x v="2"/>
    <x v="5"/>
    <x v="4"/>
    <x v="1"/>
    <x v="0"/>
  </r>
  <r>
    <x v="52"/>
    <x v="19"/>
    <x v="11"/>
    <x v="11"/>
    <x v="1"/>
    <x v="1"/>
    <x v="0"/>
    <x v="0"/>
    <s v="Human Body"/>
    <x v="1"/>
    <n v="4"/>
    <n v="3.3"/>
    <x v="0"/>
    <x v="1"/>
    <x v="3"/>
    <x v="1"/>
    <x v="1"/>
    <x v="0"/>
    <x v="5"/>
    <x v="3"/>
    <x v="0"/>
    <x v="0"/>
  </r>
  <r>
    <x v="53"/>
    <x v="26"/>
    <x v="5"/>
    <x v="5"/>
    <x v="0"/>
    <x v="3"/>
    <x v="1"/>
    <x v="0"/>
    <s v="Human Body"/>
    <x v="1"/>
    <n v="1"/>
    <n v="1"/>
    <x v="0"/>
    <x v="1"/>
    <x v="28"/>
    <x v="1"/>
    <x v="1"/>
    <x v="1"/>
    <x v="4"/>
    <x v="5"/>
    <x v="1"/>
    <x v="1"/>
  </r>
  <r>
    <x v="54"/>
    <x v="2"/>
    <x v="12"/>
    <x v="12"/>
    <x v="0"/>
    <x v="3"/>
    <x v="0"/>
    <x v="0"/>
    <s v="Human Body"/>
    <x v="2"/>
    <n v="3"/>
    <n v="2.2999999999999998"/>
    <x v="0"/>
    <x v="1"/>
    <x v="22"/>
    <x v="0"/>
    <x v="0"/>
    <x v="1"/>
    <x v="0"/>
    <x v="0"/>
    <x v="1"/>
    <x v="0"/>
  </r>
  <r>
    <x v="55"/>
    <x v="6"/>
    <x v="8"/>
    <x v="8"/>
    <x v="1"/>
    <x v="4"/>
    <x v="1"/>
    <x v="0"/>
    <s v="Human Body"/>
    <x v="2"/>
    <n v="4"/>
    <n v="3.4"/>
    <x v="0"/>
    <x v="0"/>
    <x v="4"/>
    <x v="2"/>
    <x v="3"/>
    <x v="1"/>
    <x v="0"/>
    <x v="5"/>
    <x v="2"/>
    <x v="1"/>
  </r>
  <r>
    <x v="56"/>
    <x v="27"/>
    <x v="6"/>
    <x v="6"/>
    <x v="1"/>
    <x v="2"/>
    <x v="1"/>
    <x v="0"/>
    <s v="Human Body"/>
    <x v="3"/>
    <n v="4"/>
    <n v="3"/>
    <x v="0"/>
    <x v="0"/>
    <x v="29"/>
    <x v="2"/>
    <x v="5"/>
    <x v="1"/>
    <x v="4"/>
    <x v="3"/>
    <x v="2"/>
    <x v="3"/>
  </r>
  <r>
    <x v="57"/>
    <x v="15"/>
    <x v="8"/>
    <x v="8"/>
    <x v="1"/>
    <x v="4"/>
    <x v="1"/>
    <x v="0"/>
    <s v="Human Body"/>
    <x v="1"/>
    <n v="2"/>
    <n v="1.3"/>
    <x v="0"/>
    <x v="1"/>
    <x v="6"/>
    <x v="2"/>
    <x v="6"/>
    <x v="2"/>
    <x v="0"/>
    <x v="5"/>
    <x v="2"/>
    <x v="0"/>
  </r>
  <r>
    <x v="58"/>
    <x v="16"/>
    <x v="11"/>
    <x v="11"/>
    <x v="1"/>
    <x v="1"/>
    <x v="0"/>
    <x v="0"/>
    <s v="Human Body"/>
    <x v="2"/>
    <n v="1"/>
    <n v="0.7"/>
    <x v="0"/>
    <x v="1"/>
    <x v="30"/>
    <x v="2"/>
    <x v="2"/>
    <x v="2"/>
    <x v="2"/>
    <x v="0"/>
    <x v="2"/>
    <x v="0"/>
  </r>
  <r>
    <x v="59"/>
    <x v="23"/>
    <x v="12"/>
    <x v="12"/>
    <x v="0"/>
    <x v="3"/>
    <x v="0"/>
    <x v="0"/>
    <s v="Human Body"/>
    <x v="0"/>
    <n v="2"/>
    <n v="1.6"/>
    <x v="0"/>
    <x v="1"/>
    <x v="17"/>
    <x v="0"/>
    <x v="0"/>
    <x v="2"/>
    <x v="2"/>
    <x v="0"/>
    <x v="1"/>
    <x v="2"/>
  </r>
  <r>
    <x v="60"/>
    <x v="8"/>
    <x v="13"/>
    <x v="13"/>
    <x v="0"/>
    <x v="3"/>
    <x v="0"/>
    <x v="0"/>
    <s v="Human Body"/>
    <x v="1"/>
    <n v="4"/>
    <n v="2.8"/>
    <x v="0"/>
    <x v="1"/>
    <x v="0"/>
    <x v="1"/>
    <x v="1"/>
    <x v="1"/>
    <x v="1"/>
    <x v="2"/>
    <x v="0"/>
    <x v="3"/>
  </r>
  <r>
    <x v="61"/>
    <x v="28"/>
    <x v="3"/>
    <x v="3"/>
    <x v="1"/>
    <x v="2"/>
    <x v="0"/>
    <x v="0"/>
    <s v="Human Body"/>
    <x v="1"/>
    <n v="1"/>
    <n v="0.8"/>
    <x v="0"/>
    <x v="1"/>
    <x v="6"/>
    <x v="1"/>
    <x v="1"/>
    <x v="1"/>
    <x v="0"/>
    <x v="3"/>
    <x v="1"/>
    <x v="3"/>
  </r>
  <r>
    <x v="62"/>
    <x v="2"/>
    <x v="9"/>
    <x v="9"/>
    <x v="0"/>
    <x v="1"/>
    <x v="1"/>
    <x v="0"/>
    <s v="Human Body"/>
    <x v="2"/>
    <n v="2"/>
    <n v="1.4"/>
    <x v="0"/>
    <x v="1"/>
    <x v="22"/>
    <x v="1"/>
    <x v="1"/>
    <x v="2"/>
    <x v="2"/>
    <x v="2"/>
    <x v="1"/>
    <x v="0"/>
  </r>
  <r>
    <x v="63"/>
    <x v="5"/>
    <x v="10"/>
    <x v="10"/>
    <x v="0"/>
    <x v="2"/>
    <x v="0"/>
    <x v="0"/>
    <s v="Human Body"/>
    <x v="0"/>
    <n v="1"/>
    <n v="0.7"/>
    <x v="0"/>
    <x v="1"/>
    <x v="4"/>
    <x v="0"/>
    <x v="0"/>
    <x v="0"/>
    <x v="5"/>
    <x v="1"/>
    <x v="1"/>
    <x v="2"/>
  </r>
  <r>
    <x v="64"/>
    <x v="26"/>
    <x v="7"/>
    <x v="7"/>
    <x v="1"/>
    <x v="1"/>
    <x v="0"/>
    <x v="0"/>
    <s v="Human Body"/>
    <x v="1"/>
    <n v="4"/>
    <n v="2.9"/>
    <x v="0"/>
    <x v="1"/>
    <x v="3"/>
    <x v="0"/>
    <x v="0"/>
    <x v="1"/>
    <x v="0"/>
    <x v="0"/>
    <x v="1"/>
    <x v="1"/>
  </r>
  <r>
    <x v="65"/>
    <x v="18"/>
    <x v="6"/>
    <x v="6"/>
    <x v="1"/>
    <x v="2"/>
    <x v="1"/>
    <x v="0"/>
    <s v="Human Body"/>
    <x v="2"/>
    <n v="3"/>
    <n v="2.7"/>
    <x v="0"/>
    <x v="1"/>
    <x v="5"/>
    <x v="0"/>
    <x v="0"/>
    <x v="2"/>
    <x v="5"/>
    <x v="3"/>
    <x v="0"/>
    <x v="3"/>
  </r>
  <r>
    <x v="66"/>
    <x v="15"/>
    <x v="7"/>
    <x v="7"/>
    <x v="1"/>
    <x v="1"/>
    <x v="0"/>
    <x v="0"/>
    <s v="Human Body"/>
    <x v="2"/>
    <n v="4"/>
    <n v="3.2"/>
    <x v="0"/>
    <x v="1"/>
    <x v="19"/>
    <x v="0"/>
    <x v="0"/>
    <x v="1"/>
    <x v="2"/>
    <x v="3"/>
    <x v="0"/>
    <x v="0"/>
  </r>
  <r>
    <x v="67"/>
    <x v="8"/>
    <x v="0"/>
    <x v="0"/>
    <x v="0"/>
    <x v="0"/>
    <x v="0"/>
    <x v="0"/>
    <s v="Human Body"/>
    <x v="0"/>
    <n v="1"/>
    <n v="0.9"/>
    <x v="0"/>
    <x v="1"/>
    <x v="10"/>
    <x v="1"/>
    <x v="1"/>
    <x v="0"/>
    <x v="4"/>
    <x v="0"/>
    <x v="1"/>
    <x v="3"/>
  </r>
  <r>
    <x v="68"/>
    <x v="1"/>
    <x v="3"/>
    <x v="3"/>
    <x v="1"/>
    <x v="2"/>
    <x v="0"/>
    <x v="0"/>
    <s v="Human Body"/>
    <x v="3"/>
    <n v="4"/>
    <n v="3.5"/>
    <x v="0"/>
    <x v="1"/>
    <x v="29"/>
    <x v="2"/>
    <x v="2"/>
    <x v="2"/>
    <x v="0"/>
    <x v="1"/>
    <x v="2"/>
    <x v="1"/>
  </r>
  <r>
    <x v="69"/>
    <x v="19"/>
    <x v="14"/>
    <x v="14"/>
    <x v="1"/>
    <x v="0"/>
    <x v="0"/>
    <x v="0"/>
    <s v="Human Body"/>
    <x v="1"/>
    <n v="3"/>
    <n v="2.5"/>
    <x v="0"/>
    <x v="1"/>
    <x v="31"/>
    <x v="2"/>
    <x v="2"/>
    <x v="2"/>
    <x v="4"/>
    <x v="4"/>
    <x v="2"/>
    <x v="0"/>
  </r>
  <r>
    <x v="70"/>
    <x v="24"/>
    <x v="14"/>
    <x v="14"/>
    <x v="1"/>
    <x v="0"/>
    <x v="0"/>
    <x v="0"/>
    <s v="Human Body"/>
    <x v="2"/>
    <n v="2"/>
    <n v="1.4"/>
    <x v="0"/>
    <x v="1"/>
    <x v="11"/>
    <x v="2"/>
    <x v="2"/>
    <x v="2"/>
    <x v="5"/>
    <x v="5"/>
    <x v="2"/>
    <x v="1"/>
  </r>
  <r>
    <x v="71"/>
    <x v="13"/>
    <x v="5"/>
    <x v="5"/>
    <x v="0"/>
    <x v="3"/>
    <x v="1"/>
    <x v="0"/>
    <s v="Human Body"/>
    <x v="1"/>
    <n v="3"/>
    <n v="2.6"/>
    <x v="0"/>
    <x v="1"/>
    <x v="32"/>
    <x v="0"/>
    <x v="0"/>
    <x v="0"/>
    <x v="1"/>
    <x v="2"/>
    <x v="0"/>
    <x v="4"/>
  </r>
  <r>
    <x v="72"/>
    <x v="25"/>
    <x v="6"/>
    <x v="6"/>
    <x v="1"/>
    <x v="2"/>
    <x v="1"/>
    <x v="0"/>
    <s v="Human Body"/>
    <x v="1"/>
    <n v="4"/>
    <n v="3.6"/>
    <x v="0"/>
    <x v="1"/>
    <x v="28"/>
    <x v="0"/>
    <x v="0"/>
    <x v="0"/>
    <x v="1"/>
    <x v="2"/>
    <x v="1"/>
    <x v="0"/>
  </r>
  <r>
    <x v="73"/>
    <x v="2"/>
    <x v="0"/>
    <x v="0"/>
    <x v="0"/>
    <x v="0"/>
    <x v="0"/>
    <x v="0"/>
    <s v="Human Body"/>
    <x v="0"/>
    <n v="1"/>
    <n v="1"/>
    <x v="0"/>
    <x v="1"/>
    <x v="1"/>
    <x v="0"/>
    <x v="0"/>
    <x v="0"/>
    <x v="1"/>
    <x v="0"/>
    <x v="0"/>
    <x v="0"/>
  </r>
  <r>
    <x v="74"/>
    <x v="10"/>
    <x v="2"/>
    <x v="2"/>
    <x v="0"/>
    <x v="0"/>
    <x v="1"/>
    <x v="0"/>
    <s v="Human Body"/>
    <x v="2"/>
    <n v="4"/>
    <n v="3.8"/>
    <x v="0"/>
    <x v="1"/>
    <x v="15"/>
    <x v="0"/>
    <x v="0"/>
    <x v="2"/>
    <x v="4"/>
    <x v="0"/>
    <x v="1"/>
    <x v="2"/>
  </r>
  <r>
    <x v="75"/>
    <x v="16"/>
    <x v="11"/>
    <x v="11"/>
    <x v="1"/>
    <x v="1"/>
    <x v="0"/>
    <x v="0"/>
    <s v="Human Body"/>
    <x v="1"/>
    <n v="3"/>
    <n v="2.2000000000000002"/>
    <x v="0"/>
    <x v="1"/>
    <x v="21"/>
    <x v="1"/>
    <x v="1"/>
    <x v="2"/>
    <x v="1"/>
    <x v="3"/>
    <x v="1"/>
    <x v="0"/>
  </r>
  <r>
    <x v="76"/>
    <x v="28"/>
    <x v="5"/>
    <x v="5"/>
    <x v="0"/>
    <x v="3"/>
    <x v="1"/>
    <x v="0"/>
    <s v="Human Body"/>
    <x v="2"/>
    <n v="1"/>
    <n v="0.6"/>
    <x v="0"/>
    <x v="1"/>
    <x v="14"/>
    <x v="1"/>
    <x v="1"/>
    <x v="2"/>
    <x v="1"/>
    <x v="5"/>
    <x v="0"/>
    <x v="3"/>
  </r>
  <r>
    <x v="77"/>
    <x v="0"/>
    <x v="2"/>
    <x v="2"/>
    <x v="0"/>
    <x v="0"/>
    <x v="1"/>
    <x v="0"/>
    <s v="Human Body"/>
    <x v="1"/>
    <n v="3"/>
    <n v="2.8"/>
    <x v="0"/>
    <x v="1"/>
    <x v="22"/>
    <x v="1"/>
    <x v="1"/>
    <x v="1"/>
    <x v="3"/>
    <x v="2"/>
    <x v="1"/>
    <x v="0"/>
  </r>
  <r>
    <x v="78"/>
    <x v="19"/>
    <x v="5"/>
    <x v="5"/>
    <x v="0"/>
    <x v="3"/>
    <x v="1"/>
    <x v="0"/>
    <s v="Human Body"/>
    <x v="2"/>
    <n v="3"/>
    <n v="2.5"/>
    <x v="0"/>
    <x v="1"/>
    <x v="33"/>
    <x v="1"/>
    <x v="1"/>
    <x v="2"/>
    <x v="1"/>
    <x v="0"/>
    <x v="2"/>
    <x v="0"/>
  </r>
  <r>
    <x v="79"/>
    <x v="1"/>
    <x v="14"/>
    <x v="14"/>
    <x v="1"/>
    <x v="0"/>
    <x v="0"/>
    <x v="0"/>
    <s v="Human Body"/>
    <x v="0"/>
    <n v="4"/>
    <n v="4"/>
    <x v="0"/>
    <x v="1"/>
    <x v="9"/>
    <x v="2"/>
    <x v="2"/>
    <x v="1"/>
    <x v="1"/>
    <x v="4"/>
    <x v="2"/>
    <x v="1"/>
  </r>
  <r>
    <x v="80"/>
    <x v="0"/>
    <x v="6"/>
    <x v="6"/>
    <x v="1"/>
    <x v="2"/>
    <x v="1"/>
    <x v="0"/>
    <s v="Human Body"/>
    <x v="2"/>
    <n v="1"/>
    <n v="0.7"/>
    <x v="0"/>
    <x v="1"/>
    <x v="19"/>
    <x v="0"/>
    <x v="0"/>
    <x v="0"/>
    <x v="2"/>
    <x v="2"/>
    <x v="0"/>
    <x v="0"/>
  </r>
  <r>
    <x v="81"/>
    <x v="9"/>
    <x v="1"/>
    <x v="1"/>
    <x v="1"/>
    <x v="1"/>
    <x v="1"/>
    <x v="0"/>
    <s v="Human Body"/>
    <x v="1"/>
    <n v="4"/>
    <n v="3.4"/>
    <x v="0"/>
    <x v="1"/>
    <x v="9"/>
    <x v="1"/>
    <x v="1"/>
    <x v="0"/>
    <x v="5"/>
    <x v="2"/>
    <x v="3"/>
    <x v="3"/>
  </r>
  <r>
    <x v="82"/>
    <x v="19"/>
    <x v="7"/>
    <x v="7"/>
    <x v="1"/>
    <x v="1"/>
    <x v="0"/>
    <x v="0"/>
    <s v="Human Body"/>
    <x v="1"/>
    <n v="3"/>
    <n v="1.9"/>
    <x v="0"/>
    <x v="1"/>
    <x v="25"/>
    <x v="1"/>
    <x v="1"/>
    <x v="0"/>
    <x v="1"/>
    <x v="4"/>
    <x v="1"/>
    <x v="0"/>
  </r>
  <r>
    <x v="83"/>
    <x v="27"/>
    <x v="7"/>
    <x v="7"/>
    <x v="1"/>
    <x v="1"/>
    <x v="0"/>
    <x v="0"/>
    <s v="Human Body"/>
    <x v="3"/>
    <n v="3"/>
    <n v="2.6"/>
    <x v="0"/>
    <x v="1"/>
    <x v="16"/>
    <x v="2"/>
    <x v="2"/>
    <x v="2"/>
    <x v="0"/>
    <x v="5"/>
    <x v="2"/>
    <x v="3"/>
  </r>
  <r>
    <x v="84"/>
    <x v="10"/>
    <x v="9"/>
    <x v="9"/>
    <x v="0"/>
    <x v="1"/>
    <x v="1"/>
    <x v="0"/>
    <s v="Human Body"/>
    <x v="1"/>
    <n v="2"/>
    <n v="2"/>
    <x v="0"/>
    <x v="1"/>
    <x v="13"/>
    <x v="1"/>
    <x v="1"/>
    <x v="2"/>
    <x v="0"/>
    <x v="4"/>
    <x v="0"/>
    <x v="2"/>
  </r>
  <r>
    <x v="85"/>
    <x v="0"/>
    <x v="2"/>
    <x v="2"/>
    <x v="0"/>
    <x v="0"/>
    <x v="1"/>
    <x v="0"/>
    <s v="Human Body"/>
    <x v="1"/>
    <n v="4"/>
    <n v="3.2"/>
    <x v="0"/>
    <x v="1"/>
    <x v="3"/>
    <x v="1"/>
    <x v="1"/>
    <x v="0"/>
    <x v="2"/>
    <x v="4"/>
    <x v="0"/>
    <x v="0"/>
  </r>
  <r>
    <x v="86"/>
    <x v="14"/>
    <x v="8"/>
    <x v="8"/>
    <x v="1"/>
    <x v="4"/>
    <x v="1"/>
    <x v="0"/>
    <s v="Human Body"/>
    <x v="2"/>
    <n v="1"/>
    <n v="0.8"/>
    <x v="0"/>
    <x v="1"/>
    <x v="0"/>
    <x v="1"/>
    <x v="1"/>
    <x v="2"/>
    <x v="1"/>
    <x v="1"/>
    <x v="0"/>
    <x v="4"/>
  </r>
  <r>
    <x v="87"/>
    <x v="14"/>
    <x v="0"/>
    <x v="0"/>
    <x v="0"/>
    <x v="0"/>
    <x v="0"/>
    <x v="0"/>
    <s v="Human Body"/>
    <x v="0"/>
    <n v="1"/>
    <n v="1"/>
    <x v="0"/>
    <x v="1"/>
    <x v="26"/>
    <x v="1"/>
    <x v="1"/>
    <x v="1"/>
    <x v="1"/>
    <x v="4"/>
    <x v="3"/>
    <x v="4"/>
  </r>
  <r>
    <x v="88"/>
    <x v="24"/>
    <x v="11"/>
    <x v="11"/>
    <x v="1"/>
    <x v="1"/>
    <x v="0"/>
    <x v="0"/>
    <s v="Human Body"/>
    <x v="3"/>
    <n v="2"/>
    <n v="1.4"/>
    <x v="0"/>
    <x v="1"/>
    <x v="28"/>
    <x v="2"/>
    <x v="2"/>
    <x v="0"/>
    <x v="4"/>
    <x v="0"/>
    <x v="2"/>
    <x v="1"/>
  </r>
  <r>
    <x v="89"/>
    <x v="3"/>
    <x v="4"/>
    <x v="4"/>
    <x v="0"/>
    <x v="0"/>
    <x v="0"/>
    <x v="0"/>
    <s v="Human Body"/>
    <x v="0"/>
    <n v="1"/>
    <n v="1"/>
    <x v="0"/>
    <x v="1"/>
    <x v="34"/>
    <x v="1"/>
    <x v="1"/>
    <x v="1"/>
    <x v="0"/>
    <x v="1"/>
    <x v="3"/>
    <x v="1"/>
  </r>
  <r>
    <x v="90"/>
    <x v="18"/>
    <x v="7"/>
    <x v="7"/>
    <x v="1"/>
    <x v="1"/>
    <x v="0"/>
    <x v="0"/>
    <s v="Human Body"/>
    <x v="3"/>
    <n v="2"/>
    <n v="1.5"/>
    <x v="0"/>
    <x v="1"/>
    <x v="2"/>
    <x v="1"/>
    <x v="1"/>
    <x v="1"/>
    <x v="3"/>
    <x v="1"/>
    <x v="1"/>
    <x v="3"/>
  </r>
  <r>
    <x v="91"/>
    <x v="6"/>
    <x v="10"/>
    <x v="10"/>
    <x v="0"/>
    <x v="2"/>
    <x v="0"/>
    <x v="0"/>
    <s v="Human Body"/>
    <x v="3"/>
    <n v="4"/>
    <n v="3.2"/>
    <x v="0"/>
    <x v="1"/>
    <x v="15"/>
    <x v="0"/>
    <x v="0"/>
    <x v="1"/>
    <x v="5"/>
    <x v="0"/>
    <x v="1"/>
    <x v="1"/>
  </r>
  <r>
    <x v="92"/>
    <x v="13"/>
    <x v="1"/>
    <x v="1"/>
    <x v="1"/>
    <x v="1"/>
    <x v="1"/>
    <x v="0"/>
    <s v="Human Body"/>
    <x v="3"/>
    <n v="1"/>
    <n v="0.7"/>
    <x v="0"/>
    <x v="1"/>
    <x v="5"/>
    <x v="2"/>
    <x v="2"/>
    <x v="2"/>
    <x v="5"/>
    <x v="1"/>
    <x v="2"/>
    <x v="4"/>
  </r>
  <r>
    <x v="93"/>
    <x v="15"/>
    <x v="0"/>
    <x v="0"/>
    <x v="0"/>
    <x v="0"/>
    <x v="0"/>
    <x v="0"/>
    <s v="Human Body"/>
    <x v="3"/>
    <n v="4"/>
    <n v="3.4"/>
    <x v="0"/>
    <x v="1"/>
    <x v="2"/>
    <x v="0"/>
    <x v="0"/>
    <x v="0"/>
    <x v="3"/>
    <x v="0"/>
    <x v="1"/>
    <x v="0"/>
  </r>
  <r>
    <x v="94"/>
    <x v="3"/>
    <x v="12"/>
    <x v="12"/>
    <x v="0"/>
    <x v="3"/>
    <x v="0"/>
    <x v="0"/>
    <s v="Human Body"/>
    <x v="0"/>
    <n v="3"/>
    <n v="2.9"/>
    <x v="0"/>
    <x v="0"/>
    <x v="29"/>
    <x v="0"/>
    <x v="0"/>
    <x v="0"/>
    <x v="4"/>
    <x v="4"/>
    <x v="0"/>
    <x v="1"/>
  </r>
  <r>
    <x v="95"/>
    <x v="18"/>
    <x v="1"/>
    <x v="1"/>
    <x v="1"/>
    <x v="1"/>
    <x v="1"/>
    <x v="0"/>
    <s v="Human Body"/>
    <x v="0"/>
    <n v="4"/>
    <n v="3.3"/>
    <x v="0"/>
    <x v="1"/>
    <x v="20"/>
    <x v="2"/>
    <x v="2"/>
    <x v="2"/>
    <x v="5"/>
    <x v="3"/>
    <x v="2"/>
    <x v="3"/>
  </r>
  <r>
    <x v="96"/>
    <x v="21"/>
    <x v="7"/>
    <x v="7"/>
    <x v="1"/>
    <x v="1"/>
    <x v="0"/>
    <x v="0"/>
    <s v="Human Body"/>
    <x v="3"/>
    <n v="3"/>
    <n v="2.1"/>
    <x v="0"/>
    <x v="1"/>
    <x v="25"/>
    <x v="1"/>
    <x v="1"/>
    <x v="1"/>
    <x v="4"/>
    <x v="3"/>
    <x v="1"/>
    <x v="0"/>
  </r>
  <r>
    <x v="97"/>
    <x v="7"/>
    <x v="8"/>
    <x v="8"/>
    <x v="1"/>
    <x v="4"/>
    <x v="1"/>
    <x v="0"/>
    <s v="Human Body"/>
    <x v="1"/>
    <n v="1"/>
    <n v="0.9"/>
    <x v="0"/>
    <x v="1"/>
    <x v="12"/>
    <x v="0"/>
    <x v="0"/>
    <x v="2"/>
    <x v="0"/>
    <x v="1"/>
    <x v="2"/>
    <x v="3"/>
  </r>
  <r>
    <x v="98"/>
    <x v="25"/>
    <x v="5"/>
    <x v="5"/>
    <x v="0"/>
    <x v="3"/>
    <x v="1"/>
    <x v="0"/>
    <s v="Human Body"/>
    <x v="1"/>
    <n v="4"/>
    <n v="2.9"/>
    <x v="0"/>
    <x v="1"/>
    <x v="21"/>
    <x v="0"/>
    <x v="0"/>
    <x v="0"/>
    <x v="3"/>
    <x v="3"/>
    <x v="1"/>
    <x v="0"/>
  </r>
  <r>
    <x v="99"/>
    <x v="4"/>
    <x v="11"/>
    <x v="11"/>
    <x v="1"/>
    <x v="1"/>
    <x v="0"/>
    <x v="0"/>
    <s v="Human Body"/>
    <x v="1"/>
    <n v="3"/>
    <n v="2.9"/>
    <x v="0"/>
    <x v="1"/>
    <x v="32"/>
    <x v="2"/>
    <x v="2"/>
    <x v="1"/>
    <x v="4"/>
    <x v="2"/>
    <x v="2"/>
    <x v="2"/>
  </r>
  <r>
    <x v="100"/>
    <x v="22"/>
    <x v="6"/>
    <x v="6"/>
    <x v="1"/>
    <x v="2"/>
    <x v="1"/>
    <x v="0"/>
    <s v="Human Body"/>
    <x v="3"/>
    <n v="2"/>
    <n v="1.7"/>
    <x v="0"/>
    <x v="1"/>
    <x v="17"/>
    <x v="1"/>
    <x v="1"/>
    <x v="1"/>
    <x v="4"/>
    <x v="0"/>
    <x v="3"/>
    <x v="1"/>
  </r>
  <r>
    <x v="101"/>
    <x v="25"/>
    <x v="5"/>
    <x v="5"/>
    <x v="0"/>
    <x v="3"/>
    <x v="1"/>
    <x v="0"/>
    <s v="Human Body"/>
    <x v="0"/>
    <n v="3"/>
    <n v="2.4"/>
    <x v="0"/>
    <x v="1"/>
    <x v="28"/>
    <x v="0"/>
    <x v="0"/>
    <x v="2"/>
    <x v="2"/>
    <x v="5"/>
    <x v="1"/>
    <x v="0"/>
  </r>
  <r>
    <x v="102"/>
    <x v="1"/>
    <x v="8"/>
    <x v="8"/>
    <x v="1"/>
    <x v="4"/>
    <x v="1"/>
    <x v="0"/>
    <s v="Human Body"/>
    <x v="1"/>
    <n v="1"/>
    <n v="0.9"/>
    <x v="0"/>
    <x v="1"/>
    <x v="34"/>
    <x v="2"/>
    <x v="2"/>
    <x v="1"/>
    <x v="0"/>
    <x v="4"/>
    <x v="2"/>
    <x v="1"/>
  </r>
  <r>
    <x v="103"/>
    <x v="2"/>
    <x v="13"/>
    <x v="13"/>
    <x v="0"/>
    <x v="3"/>
    <x v="0"/>
    <x v="0"/>
    <s v="Human Body"/>
    <x v="0"/>
    <n v="2"/>
    <n v="2"/>
    <x v="0"/>
    <x v="1"/>
    <x v="17"/>
    <x v="1"/>
    <x v="1"/>
    <x v="1"/>
    <x v="5"/>
    <x v="2"/>
    <x v="3"/>
    <x v="0"/>
  </r>
  <r>
    <x v="104"/>
    <x v="15"/>
    <x v="9"/>
    <x v="9"/>
    <x v="0"/>
    <x v="1"/>
    <x v="1"/>
    <x v="0"/>
    <s v="Human Body"/>
    <x v="1"/>
    <n v="3"/>
    <n v="2.2999999999999998"/>
    <x v="0"/>
    <x v="1"/>
    <x v="2"/>
    <x v="2"/>
    <x v="2"/>
    <x v="2"/>
    <x v="2"/>
    <x v="2"/>
    <x v="2"/>
    <x v="0"/>
  </r>
  <r>
    <x v="105"/>
    <x v="27"/>
    <x v="1"/>
    <x v="1"/>
    <x v="1"/>
    <x v="1"/>
    <x v="1"/>
    <x v="0"/>
    <s v="Human Body"/>
    <x v="0"/>
    <n v="3"/>
    <n v="1.9"/>
    <x v="0"/>
    <x v="1"/>
    <x v="19"/>
    <x v="1"/>
    <x v="1"/>
    <x v="1"/>
    <x v="5"/>
    <x v="1"/>
    <x v="0"/>
    <x v="3"/>
  </r>
  <r>
    <x v="106"/>
    <x v="18"/>
    <x v="0"/>
    <x v="0"/>
    <x v="0"/>
    <x v="0"/>
    <x v="0"/>
    <x v="0"/>
    <s v="Human Body"/>
    <x v="2"/>
    <n v="1"/>
    <n v="0.8"/>
    <x v="0"/>
    <x v="1"/>
    <x v="27"/>
    <x v="2"/>
    <x v="2"/>
    <x v="1"/>
    <x v="3"/>
    <x v="5"/>
    <x v="2"/>
    <x v="3"/>
  </r>
  <r>
    <x v="107"/>
    <x v="8"/>
    <x v="5"/>
    <x v="5"/>
    <x v="0"/>
    <x v="3"/>
    <x v="1"/>
    <x v="0"/>
    <s v="Human Body"/>
    <x v="1"/>
    <n v="1"/>
    <n v="0.7"/>
    <x v="0"/>
    <x v="1"/>
    <x v="1"/>
    <x v="2"/>
    <x v="2"/>
    <x v="1"/>
    <x v="3"/>
    <x v="2"/>
    <x v="2"/>
    <x v="3"/>
  </r>
  <r>
    <x v="108"/>
    <x v="18"/>
    <x v="7"/>
    <x v="7"/>
    <x v="1"/>
    <x v="1"/>
    <x v="0"/>
    <x v="0"/>
    <s v="Human Body"/>
    <x v="2"/>
    <n v="1"/>
    <n v="0.8"/>
    <x v="0"/>
    <x v="1"/>
    <x v="20"/>
    <x v="2"/>
    <x v="2"/>
    <x v="0"/>
    <x v="0"/>
    <x v="5"/>
    <x v="2"/>
    <x v="3"/>
  </r>
  <r>
    <x v="109"/>
    <x v="19"/>
    <x v="7"/>
    <x v="7"/>
    <x v="1"/>
    <x v="1"/>
    <x v="0"/>
    <x v="0"/>
    <s v="Human Body"/>
    <x v="2"/>
    <n v="3"/>
    <n v="2.8"/>
    <x v="0"/>
    <x v="1"/>
    <x v="25"/>
    <x v="1"/>
    <x v="1"/>
    <x v="1"/>
    <x v="0"/>
    <x v="1"/>
    <x v="1"/>
    <x v="0"/>
  </r>
  <r>
    <x v="110"/>
    <x v="27"/>
    <x v="11"/>
    <x v="11"/>
    <x v="1"/>
    <x v="1"/>
    <x v="0"/>
    <x v="0"/>
    <s v="Human Body"/>
    <x v="3"/>
    <n v="3"/>
    <n v="2.1"/>
    <x v="0"/>
    <x v="1"/>
    <x v="29"/>
    <x v="2"/>
    <x v="2"/>
    <x v="0"/>
    <x v="5"/>
    <x v="4"/>
    <x v="2"/>
    <x v="3"/>
  </r>
  <r>
    <x v="111"/>
    <x v="23"/>
    <x v="3"/>
    <x v="3"/>
    <x v="1"/>
    <x v="2"/>
    <x v="0"/>
    <x v="0"/>
    <s v="Human Body"/>
    <x v="3"/>
    <n v="4"/>
    <n v="3.4"/>
    <x v="0"/>
    <x v="1"/>
    <x v="15"/>
    <x v="1"/>
    <x v="1"/>
    <x v="1"/>
    <x v="1"/>
    <x v="5"/>
    <x v="1"/>
    <x v="2"/>
  </r>
  <r>
    <x v="112"/>
    <x v="27"/>
    <x v="14"/>
    <x v="14"/>
    <x v="1"/>
    <x v="0"/>
    <x v="0"/>
    <x v="0"/>
    <s v="Human Body"/>
    <x v="2"/>
    <n v="4"/>
    <n v="3.2"/>
    <x v="0"/>
    <x v="1"/>
    <x v="22"/>
    <x v="2"/>
    <x v="2"/>
    <x v="2"/>
    <x v="4"/>
    <x v="5"/>
    <x v="2"/>
    <x v="3"/>
  </r>
  <r>
    <x v="113"/>
    <x v="18"/>
    <x v="5"/>
    <x v="5"/>
    <x v="0"/>
    <x v="3"/>
    <x v="1"/>
    <x v="0"/>
    <s v="Human Body"/>
    <x v="2"/>
    <n v="1"/>
    <n v="0.8"/>
    <x v="0"/>
    <x v="1"/>
    <x v="28"/>
    <x v="1"/>
    <x v="1"/>
    <x v="2"/>
    <x v="1"/>
    <x v="2"/>
    <x v="1"/>
    <x v="3"/>
  </r>
  <r>
    <x v="114"/>
    <x v="5"/>
    <x v="12"/>
    <x v="12"/>
    <x v="0"/>
    <x v="3"/>
    <x v="0"/>
    <x v="0"/>
    <s v="Human Body"/>
    <x v="0"/>
    <n v="3"/>
    <n v="2.2999999999999998"/>
    <x v="0"/>
    <x v="1"/>
    <x v="25"/>
    <x v="0"/>
    <x v="0"/>
    <x v="2"/>
    <x v="1"/>
    <x v="4"/>
    <x v="1"/>
    <x v="2"/>
  </r>
  <r>
    <x v="115"/>
    <x v="20"/>
    <x v="11"/>
    <x v="11"/>
    <x v="1"/>
    <x v="1"/>
    <x v="0"/>
    <x v="0"/>
    <s v="Human Body"/>
    <x v="0"/>
    <n v="4"/>
    <n v="2.7"/>
    <x v="0"/>
    <x v="1"/>
    <x v="4"/>
    <x v="0"/>
    <x v="0"/>
    <x v="1"/>
    <x v="1"/>
    <x v="3"/>
    <x v="1"/>
    <x v="2"/>
  </r>
  <r>
    <x v="116"/>
    <x v="8"/>
    <x v="2"/>
    <x v="2"/>
    <x v="0"/>
    <x v="0"/>
    <x v="1"/>
    <x v="0"/>
    <s v="Human Body"/>
    <x v="1"/>
    <n v="2"/>
    <n v="1.5"/>
    <x v="0"/>
    <x v="1"/>
    <x v="5"/>
    <x v="1"/>
    <x v="1"/>
    <x v="2"/>
    <x v="1"/>
    <x v="0"/>
    <x v="0"/>
    <x v="3"/>
  </r>
  <r>
    <x v="117"/>
    <x v="15"/>
    <x v="1"/>
    <x v="1"/>
    <x v="1"/>
    <x v="1"/>
    <x v="1"/>
    <x v="0"/>
    <s v="Human Body"/>
    <x v="3"/>
    <n v="1"/>
    <n v="0.9"/>
    <x v="0"/>
    <x v="1"/>
    <x v="21"/>
    <x v="0"/>
    <x v="0"/>
    <x v="0"/>
    <x v="2"/>
    <x v="0"/>
    <x v="1"/>
    <x v="0"/>
  </r>
  <r>
    <x v="118"/>
    <x v="21"/>
    <x v="1"/>
    <x v="1"/>
    <x v="1"/>
    <x v="1"/>
    <x v="1"/>
    <x v="0"/>
    <s v="Human Body"/>
    <x v="1"/>
    <n v="4"/>
    <n v="2.8"/>
    <x v="0"/>
    <x v="1"/>
    <x v="17"/>
    <x v="1"/>
    <x v="1"/>
    <x v="1"/>
    <x v="3"/>
    <x v="2"/>
    <x v="3"/>
    <x v="0"/>
  </r>
  <r>
    <x v="119"/>
    <x v="17"/>
    <x v="7"/>
    <x v="7"/>
    <x v="1"/>
    <x v="1"/>
    <x v="0"/>
    <x v="0"/>
    <s v="Human Body"/>
    <x v="3"/>
    <n v="1"/>
    <n v="0.7"/>
    <x v="0"/>
    <x v="1"/>
    <x v="13"/>
    <x v="2"/>
    <x v="2"/>
    <x v="1"/>
    <x v="2"/>
    <x v="0"/>
    <x v="2"/>
    <x v="2"/>
  </r>
  <r>
    <x v="120"/>
    <x v="9"/>
    <x v="9"/>
    <x v="9"/>
    <x v="0"/>
    <x v="1"/>
    <x v="1"/>
    <x v="0"/>
    <s v="Human Body"/>
    <x v="1"/>
    <n v="3"/>
    <n v="2.2000000000000002"/>
    <x v="0"/>
    <x v="1"/>
    <x v="35"/>
    <x v="1"/>
    <x v="1"/>
    <x v="0"/>
    <x v="3"/>
    <x v="3"/>
    <x v="2"/>
    <x v="3"/>
  </r>
  <r>
    <x v="121"/>
    <x v="4"/>
    <x v="8"/>
    <x v="8"/>
    <x v="1"/>
    <x v="4"/>
    <x v="1"/>
    <x v="0"/>
    <s v="Human Body"/>
    <x v="1"/>
    <n v="1"/>
    <n v="0.7"/>
    <x v="0"/>
    <x v="1"/>
    <x v="25"/>
    <x v="0"/>
    <x v="0"/>
    <x v="0"/>
    <x v="5"/>
    <x v="3"/>
    <x v="1"/>
    <x v="2"/>
  </r>
  <r>
    <x v="122"/>
    <x v="22"/>
    <x v="10"/>
    <x v="10"/>
    <x v="0"/>
    <x v="2"/>
    <x v="0"/>
    <x v="0"/>
    <s v="Human Body"/>
    <x v="0"/>
    <n v="4"/>
    <n v="2.6"/>
    <x v="0"/>
    <x v="1"/>
    <x v="10"/>
    <x v="0"/>
    <x v="0"/>
    <x v="2"/>
    <x v="0"/>
    <x v="3"/>
    <x v="1"/>
    <x v="1"/>
  </r>
  <r>
    <x v="123"/>
    <x v="18"/>
    <x v="0"/>
    <x v="0"/>
    <x v="0"/>
    <x v="0"/>
    <x v="0"/>
    <x v="0"/>
    <s v="Human Body"/>
    <x v="1"/>
    <n v="3"/>
    <n v="2.7"/>
    <x v="0"/>
    <x v="1"/>
    <x v="31"/>
    <x v="0"/>
    <x v="0"/>
    <x v="2"/>
    <x v="3"/>
    <x v="2"/>
    <x v="2"/>
    <x v="3"/>
  </r>
  <r>
    <x v="124"/>
    <x v="16"/>
    <x v="1"/>
    <x v="1"/>
    <x v="1"/>
    <x v="1"/>
    <x v="1"/>
    <x v="0"/>
    <s v="Human Body"/>
    <x v="3"/>
    <n v="3"/>
    <n v="3"/>
    <x v="0"/>
    <x v="1"/>
    <x v="13"/>
    <x v="1"/>
    <x v="1"/>
    <x v="2"/>
    <x v="1"/>
    <x v="3"/>
    <x v="0"/>
    <x v="0"/>
  </r>
  <r>
    <x v="125"/>
    <x v="11"/>
    <x v="2"/>
    <x v="2"/>
    <x v="0"/>
    <x v="0"/>
    <x v="1"/>
    <x v="0"/>
    <s v="Human Body"/>
    <x v="1"/>
    <n v="1"/>
    <n v="1"/>
    <x v="0"/>
    <x v="1"/>
    <x v="0"/>
    <x v="0"/>
    <x v="0"/>
    <x v="0"/>
    <x v="4"/>
    <x v="0"/>
    <x v="1"/>
    <x v="1"/>
  </r>
  <r>
    <x v="126"/>
    <x v="4"/>
    <x v="3"/>
    <x v="3"/>
    <x v="1"/>
    <x v="2"/>
    <x v="0"/>
    <x v="0"/>
    <s v="Human Body"/>
    <x v="2"/>
    <n v="1"/>
    <n v="0.7"/>
    <x v="0"/>
    <x v="1"/>
    <x v="28"/>
    <x v="1"/>
    <x v="1"/>
    <x v="1"/>
    <x v="1"/>
    <x v="0"/>
    <x v="1"/>
    <x v="2"/>
  </r>
  <r>
    <x v="127"/>
    <x v="2"/>
    <x v="11"/>
    <x v="11"/>
    <x v="1"/>
    <x v="1"/>
    <x v="0"/>
    <x v="0"/>
    <s v="Human Body"/>
    <x v="3"/>
    <n v="2"/>
    <n v="1.8"/>
    <x v="0"/>
    <x v="1"/>
    <x v="0"/>
    <x v="1"/>
    <x v="1"/>
    <x v="1"/>
    <x v="2"/>
    <x v="2"/>
    <x v="0"/>
    <x v="0"/>
  </r>
  <r>
    <x v="128"/>
    <x v="11"/>
    <x v="7"/>
    <x v="7"/>
    <x v="1"/>
    <x v="1"/>
    <x v="0"/>
    <x v="0"/>
    <s v="Human Body"/>
    <x v="2"/>
    <n v="3"/>
    <n v="2.2999999999999998"/>
    <x v="0"/>
    <x v="1"/>
    <x v="19"/>
    <x v="1"/>
    <x v="1"/>
    <x v="2"/>
    <x v="5"/>
    <x v="4"/>
    <x v="0"/>
    <x v="1"/>
  </r>
  <r>
    <x v="129"/>
    <x v="5"/>
    <x v="9"/>
    <x v="9"/>
    <x v="0"/>
    <x v="1"/>
    <x v="1"/>
    <x v="0"/>
    <s v="Human Body"/>
    <x v="1"/>
    <n v="4"/>
    <n v="2.8"/>
    <x v="0"/>
    <x v="1"/>
    <x v="3"/>
    <x v="1"/>
    <x v="1"/>
    <x v="1"/>
    <x v="3"/>
    <x v="1"/>
    <x v="0"/>
    <x v="2"/>
  </r>
  <r>
    <x v="130"/>
    <x v="20"/>
    <x v="6"/>
    <x v="6"/>
    <x v="1"/>
    <x v="2"/>
    <x v="1"/>
    <x v="0"/>
    <s v="Human Body"/>
    <x v="0"/>
    <n v="1"/>
    <n v="1"/>
    <x v="0"/>
    <x v="1"/>
    <x v="11"/>
    <x v="1"/>
    <x v="1"/>
    <x v="1"/>
    <x v="0"/>
    <x v="0"/>
    <x v="3"/>
    <x v="2"/>
  </r>
  <r>
    <x v="131"/>
    <x v="5"/>
    <x v="2"/>
    <x v="2"/>
    <x v="0"/>
    <x v="0"/>
    <x v="1"/>
    <x v="0"/>
    <s v="Human Body"/>
    <x v="0"/>
    <n v="2"/>
    <n v="1.3"/>
    <x v="0"/>
    <x v="1"/>
    <x v="18"/>
    <x v="1"/>
    <x v="1"/>
    <x v="0"/>
    <x v="1"/>
    <x v="4"/>
    <x v="2"/>
    <x v="2"/>
  </r>
  <r>
    <x v="132"/>
    <x v="25"/>
    <x v="8"/>
    <x v="8"/>
    <x v="1"/>
    <x v="4"/>
    <x v="1"/>
    <x v="0"/>
    <s v="Human Body"/>
    <x v="2"/>
    <n v="4"/>
    <n v="3"/>
    <x v="0"/>
    <x v="1"/>
    <x v="17"/>
    <x v="1"/>
    <x v="1"/>
    <x v="1"/>
    <x v="1"/>
    <x v="1"/>
    <x v="3"/>
    <x v="0"/>
  </r>
  <r>
    <x v="133"/>
    <x v="3"/>
    <x v="3"/>
    <x v="3"/>
    <x v="1"/>
    <x v="2"/>
    <x v="0"/>
    <x v="0"/>
    <s v="Human Body"/>
    <x v="1"/>
    <n v="4"/>
    <n v="3.8"/>
    <x v="0"/>
    <x v="1"/>
    <x v="36"/>
    <x v="0"/>
    <x v="0"/>
    <x v="0"/>
    <x v="1"/>
    <x v="5"/>
    <x v="1"/>
    <x v="1"/>
  </r>
  <r>
    <x v="134"/>
    <x v="29"/>
    <x v="14"/>
    <x v="14"/>
    <x v="1"/>
    <x v="0"/>
    <x v="0"/>
    <x v="0"/>
    <s v="Human Body"/>
    <x v="1"/>
    <n v="1"/>
    <n v="0.9"/>
    <x v="0"/>
    <x v="1"/>
    <x v="3"/>
    <x v="0"/>
    <x v="0"/>
    <x v="1"/>
    <x v="4"/>
    <x v="4"/>
    <x v="0"/>
    <x v="2"/>
  </r>
  <r>
    <x v="135"/>
    <x v="25"/>
    <x v="2"/>
    <x v="2"/>
    <x v="0"/>
    <x v="0"/>
    <x v="1"/>
    <x v="0"/>
    <s v="Human Body"/>
    <x v="3"/>
    <n v="2"/>
    <n v="1.6"/>
    <x v="0"/>
    <x v="1"/>
    <x v="21"/>
    <x v="1"/>
    <x v="1"/>
    <x v="0"/>
    <x v="5"/>
    <x v="5"/>
    <x v="1"/>
    <x v="0"/>
  </r>
  <r>
    <x v="136"/>
    <x v="8"/>
    <x v="14"/>
    <x v="14"/>
    <x v="1"/>
    <x v="0"/>
    <x v="0"/>
    <x v="0"/>
    <s v="Human Body"/>
    <x v="2"/>
    <n v="4"/>
    <n v="2.6"/>
    <x v="0"/>
    <x v="1"/>
    <x v="11"/>
    <x v="2"/>
    <x v="2"/>
    <x v="2"/>
    <x v="2"/>
    <x v="4"/>
    <x v="2"/>
    <x v="3"/>
  </r>
  <r>
    <x v="137"/>
    <x v="14"/>
    <x v="1"/>
    <x v="1"/>
    <x v="1"/>
    <x v="1"/>
    <x v="1"/>
    <x v="0"/>
    <s v="Human Body"/>
    <x v="3"/>
    <n v="1"/>
    <n v="0.6"/>
    <x v="0"/>
    <x v="1"/>
    <x v="33"/>
    <x v="1"/>
    <x v="1"/>
    <x v="0"/>
    <x v="2"/>
    <x v="1"/>
    <x v="2"/>
    <x v="4"/>
  </r>
  <r>
    <x v="138"/>
    <x v="16"/>
    <x v="0"/>
    <x v="0"/>
    <x v="0"/>
    <x v="0"/>
    <x v="0"/>
    <x v="0"/>
    <s v="Human Body"/>
    <x v="3"/>
    <n v="4"/>
    <n v="2.4"/>
    <x v="0"/>
    <x v="1"/>
    <x v="4"/>
    <x v="1"/>
    <x v="1"/>
    <x v="1"/>
    <x v="5"/>
    <x v="4"/>
    <x v="1"/>
    <x v="0"/>
  </r>
  <r>
    <x v="139"/>
    <x v="10"/>
    <x v="7"/>
    <x v="7"/>
    <x v="1"/>
    <x v="1"/>
    <x v="0"/>
    <x v="0"/>
    <s v="Human Body"/>
    <x v="1"/>
    <n v="4"/>
    <n v="3.3"/>
    <x v="0"/>
    <x v="1"/>
    <x v="32"/>
    <x v="1"/>
    <x v="1"/>
    <x v="2"/>
    <x v="0"/>
    <x v="0"/>
    <x v="3"/>
    <x v="2"/>
  </r>
  <r>
    <x v="140"/>
    <x v="9"/>
    <x v="9"/>
    <x v="9"/>
    <x v="0"/>
    <x v="1"/>
    <x v="1"/>
    <x v="0"/>
    <s v="Human Body"/>
    <x v="1"/>
    <n v="1"/>
    <n v="0.8"/>
    <x v="0"/>
    <x v="1"/>
    <x v="20"/>
    <x v="1"/>
    <x v="1"/>
    <x v="2"/>
    <x v="2"/>
    <x v="5"/>
    <x v="0"/>
    <x v="3"/>
  </r>
  <r>
    <x v="141"/>
    <x v="18"/>
    <x v="13"/>
    <x v="13"/>
    <x v="0"/>
    <x v="3"/>
    <x v="0"/>
    <x v="0"/>
    <s v="Human Body"/>
    <x v="0"/>
    <n v="4"/>
    <n v="3.5"/>
    <x v="0"/>
    <x v="1"/>
    <x v="1"/>
    <x v="0"/>
    <x v="0"/>
    <x v="1"/>
    <x v="2"/>
    <x v="2"/>
    <x v="1"/>
    <x v="3"/>
  </r>
  <r>
    <x v="142"/>
    <x v="12"/>
    <x v="2"/>
    <x v="2"/>
    <x v="0"/>
    <x v="0"/>
    <x v="1"/>
    <x v="0"/>
    <s v="Human Body"/>
    <x v="1"/>
    <n v="1"/>
    <n v="1"/>
    <x v="0"/>
    <x v="1"/>
    <x v="19"/>
    <x v="2"/>
    <x v="2"/>
    <x v="1"/>
    <x v="1"/>
    <x v="0"/>
    <x v="2"/>
    <x v="3"/>
  </r>
  <r>
    <x v="143"/>
    <x v="17"/>
    <x v="1"/>
    <x v="1"/>
    <x v="1"/>
    <x v="1"/>
    <x v="1"/>
    <x v="0"/>
    <s v="Human Body"/>
    <x v="1"/>
    <n v="2"/>
    <n v="1.9"/>
    <x v="0"/>
    <x v="1"/>
    <x v="1"/>
    <x v="1"/>
    <x v="1"/>
    <x v="2"/>
    <x v="4"/>
    <x v="3"/>
    <x v="0"/>
    <x v="2"/>
  </r>
  <r>
    <x v="144"/>
    <x v="26"/>
    <x v="13"/>
    <x v="13"/>
    <x v="0"/>
    <x v="3"/>
    <x v="0"/>
    <x v="0"/>
    <s v="Human Body"/>
    <x v="2"/>
    <n v="2"/>
    <n v="1.9"/>
    <x v="0"/>
    <x v="1"/>
    <x v="28"/>
    <x v="1"/>
    <x v="1"/>
    <x v="0"/>
    <x v="1"/>
    <x v="5"/>
    <x v="1"/>
    <x v="1"/>
  </r>
  <r>
    <x v="145"/>
    <x v="22"/>
    <x v="6"/>
    <x v="6"/>
    <x v="1"/>
    <x v="2"/>
    <x v="1"/>
    <x v="0"/>
    <s v="Human Body"/>
    <x v="2"/>
    <n v="4"/>
    <n v="3.7"/>
    <x v="0"/>
    <x v="1"/>
    <x v="22"/>
    <x v="1"/>
    <x v="1"/>
    <x v="1"/>
    <x v="0"/>
    <x v="5"/>
    <x v="1"/>
    <x v="1"/>
  </r>
  <r>
    <x v="146"/>
    <x v="19"/>
    <x v="9"/>
    <x v="9"/>
    <x v="0"/>
    <x v="1"/>
    <x v="1"/>
    <x v="0"/>
    <s v="Human Body"/>
    <x v="0"/>
    <n v="1"/>
    <n v="0.7"/>
    <x v="0"/>
    <x v="1"/>
    <x v="2"/>
    <x v="1"/>
    <x v="1"/>
    <x v="1"/>
    <x v="0"/>
    <x v="3"/>
    <x v="1"/>
    <x v="0"/>
  </r>
  <r>
    <x v="147"/>
    <x v="15"/>
    <x v="14"/>
    <x v="14"/>
    <x v="1"/>
    <x v="0"/>
    <x v="0"/>
    <x v="0"/>
    <s v="Human Body"/>
    <x v="1"/>
    <n v="1"/>
    <n v="0.9"/>
    <x v="0"/>
    <x v="1"/>
    <x v="1"/>
    <x v="2"/>
    <x v="2"/>
    <x v="1"/>
    <x v="5"/>
    <x v="4"/>
    <x v="2"/>
    <x v="0"/>
  </r>
  <r>
    <x v="148"/>
    <x v="21"/>
    <x v="9"/>
    <x v="9"/>
    <x v="0"/>
    <x v="1"/>
    <x v="1"/>
    <x v="0"/>
    <s v="Human Body"/>
    <x v="1"/>
    <n v="4"/>
    <n v="3.3"/>
    <x v="0"/>
    <x v="1"/>
    <x v="15"/>
    <x v="2"/>
    <x v="2"/>
    <x v="0"/>
    <x v="2"/>
    <x v="5"/>
    <x v="2"/>
    <x v="0"/>
  </r>
  <r>
    <x v="149"/>
    <x v="16"/>
    <x v="3"/>
    <x v="3"/>
    <x v="1"/>
    <x v="2"/>
    <x v="0"/>
    <x v="0"/>
    <s v="Human Body"/>
    <x v="0"/>
    <n v="1"/>
    <n v="1"/>
    <x v="0"/>
    <x v="1"/>
    <x v="29"/>
    <x v="2"/>
    <x v="2"/>
    <x v="1"/>
    <x v="4"/>
    <x v="2"/>
    <x v="2"/>
    <x v="0"/>
  </r>
  <r>
    <x v="150"/>
    <x v="19"/>
    <x v="9"/>
    <x v="9"/>
    <x v="0"/>
    <x v="1"/>
    <x v="1"/>
    <x v="0"/>
    <s v="Human Body"/>
    <x v="2"/>
    <n v="3"/>
    <n v="2.2000000000000002"/>
    <x v="0"/>
    <x v="1"/>
    <x v="22"/>
    <x v="1"/>
    <x v="1"/>
    <x v="0"/>
    <x v="4"/>
    <x v="1"/>
    <x v="1"/>
    <x v="0"/>
  </r>
  <r>
    <x v="151"/>
    <x v="5"/>
    <x v="5"/>
    <x v="5"/>
    <x v="0"/>
    <x v="3"/>
    <x v="1"/>
    <x v="0"/>
    <s v="Human Body"/>
    <x v="0"/>
    <n v="1"/>
    <n v="0.9"/>
    <x v="0"/>
    <x v="1"/>
    <x v="20"/>
    <x v="1"/>
    <x v="1"/>
    <x v="1"/>
    <x v="0"/>
    <x v="1"/>
    <x v="0"/>
    <x v="2"/>
  </r>
  <r>
    <x v="152"/>
    <x v="14"/>
    <x v="3"/>
    <x v="3"/>
    <x v="1"/>
    <x v="2"/>
    <x v="0"/>
    <x v="0"/>
    <s v="Human Body"/>
    <x v="2"/>
    <n v="1"/>
    <n v="0.8"/>
    <x v="0"/>
    <x v="1"/>
    <x v="34"/>
    <x v="1"/>
    <x v="1"/>
    <x v="1"/>
    <x v="5"/>
    <x v="5"/>
    <x v="3"/>
    <x v="4"/>
  </r>
  <r>
    <x v="153"/>
    <x v="6"/>
    <x v="2"/>
    <x v="2"/>
    <x v="0"/>
    <x v="0"/>
    <x v="1"/>
    <x v="0"/>
    <s v="Human Body"/>
    <x v="0"/>
    <n v="3"/>
    <n v="2.2999999999999998"/>
    <x v="0"/>
    <x v="1"/>
    <x v="5"/>
    <x v="2"/>
    <x v="2"/>
    <x v="1"/>
    <x v="2"/>
    <x v="2"/>
    <x v="2"/>
    <x v="1"/>
  </r>
  <r>
    <x v="154"/>
    <x v="9"/>
    <x v="5"/>
    <x v="5"/>
    <x v="0"/>
    <x v="3"/>
    <x v="1"/>
    <x v="0"/>
    <s v="Human Body"/>
    <x v="0"/>
    <n v="1"/>
    <n v="0.8"/>
    <x v="0"/>
    <x v="1"/>
    <x v="3"/>
    <x v="1"/>
    <x v="1"/>
    <x v="1"/>
    <x v="5"/>
    <x v="5"/>
    <x v="0"/>
    <x v="3"/>
  </r>
  <r>
    <x v="155"/>
    <x v="10"/>
    <x v="13"/>
    <x v="13"/>
    <x v="0"/>
    <x v="3"/>
    <x v="0"/>
    <x v="0"/>
    <s v="Human Body"/>
    <x v="2"/>
    <n v="3"/>
    <n v="2.1"/>
    <x v="0"/>
    <x v="1"/>
    <x v="3"/>
    <x v="2"/>
    <x v="2"/>
    <x v="2"/>
    <x v="3"/>
    <x v="4"/>
    <x v="2"/>
    <x v="2"/>
  </r>
  <r>
    <x v="156"/>
    <x v="12"/>
    <x v="1"/>
    <x v="1"/>
    <x v="1"/>
    <x v="1"/>
    <x v="1"/>
    <x v="0"/>
    <s v="Human Body"/>
    <x v="2"/>
    <n v="3"/>
    <n v="2.6"/>
    <x v="0"/>
    <x v="1"/>
    <x v="5"/>
    <x v="1"/>
    <x v="1"/>
    <x v="2"/>
    <x v="5"/>
    <x v="1"/>
    <x v="0"/>
    <x v="3"/>
  </r>
  <r>
    <x v="157"/>
    <x v="13"/>
    <x v="12"/>
    <x v="12"/>
    <x v="0"/>
    <x v="3"/>
    <x v="0"/>
    <x v="0"/>
    <s v="Human Body"/>
    <x v="2"/>
    <n v="3"/>
    <n v="3"/>
    <x v="0"/>
    <x v="1"/>
    <x v="1"/>
    <x v="2"/>
    <x v="2"/>
    <x v="2"/>
    <x v="1"/>
    <x v="0"/>
    <x v="2"/>
    <x v="4"/>
  </r>
  <r>
    <x v="158"/>
    <x v="26"/>
    <x v="1"/>
    <x v="1"/>
    <x v="1"/>
    <x v="1"/>
    <x v="1"/>
    <x v="0"/>
    <s v="Human Body"/>
    <x v="0"/>
    <n v="3"/>
    <n v="2.8"/>
    <x v="0"/>
    <x v="1"/>
    <x v="11"/>
    <x v="1"/>
    <x v="1"/>
    <x v="0"/>
    <x v="5"/>
    <x v="4"/>
    <x v="3"/>
    <x v="1"/>
  </r>
  <r>
    <x v="159"/>
    <x v="15"/>
    <x v="12"/>
    <x v="12"/>
    <x v="0"/>
    <x v="3"/>
    <x v="0"/>
    <x v="0"/>
    <s v="Human Body"/>
    <x v="1"/>
    <n v="4"/>
    <n v="3.2"/>
    <x v="0"/>
    <x v="1"/>
    <x v="34"/>
    <x v="2"/>
    <x v="2"/>
    <x v="1"/>
    <x v="3"/>
    <x v="0"/>
    <x v="2"/>
    <x v="0"/>
  </r>
  <r>
    <x v="160"/>
    <x v="18"/>
    <x v="6"/>
    <x v="6"/>
    <x v="1"/>
    <x v="2"/>
    <x v="1"/>
    <x v="0"/>
    <s v="Human Body"/>
    <x v="3"/>
    <n v="4"/>
    <n v="3.4"/>
    <x v="0"/>
    <x v="1"/>
    <x v="29"/>
    <x v="2"/>
    <x v="2"/>
    <x v="1"/>
    <x v="4"/>
    <x v="3"/>
    <x v="2"/>
    <x v="3"/>
  </r>
  <r>
    <x v="161"/>
    <x v="25"/>
    <x v="12"/>
    <x v="12"/>
    <x v="0"/>
    <x v="3"/>
    <x v="0"/>
    <x v="0"/>
    <s v="Human Body"/>
    <x v="0"/>
    <n v="4"/>
    <n v="3.6"/>
    <x v="0"/>
    <x v="1"/>
    <x v="8"/>
    <x v="1"/>
    <x v="1"/>
    <x v="1"/>
    <x v="5"/>
    <x v="5"/>
    <x v="0"/>
    <x v="0"/>
  </r>
  <r>
    <x v="162"/>
    <x v="5"/>
    <x v="8"/>
    <x v="8"/>
    <x v="1"/>
    <x v="4"/>
    <x v="1"/>
    <x v="0"/>
    <s v="Human Body"/>
    <x v="2"/>
    <n v="4"/>
    <n v="2.7"/>
    <x v="0"/>
    <x v="1"/>
    <x v="37"/>
    <x v="0"/>
    <x v="0"/>
    <x v="0"/>
    <x v="5"/>
    <x v="5"/>
    <x v="1"/>
    <x v="2"/>
  </r>
  <r>
    <x v="163"/>
    <x v="7"/>
    <x v="14"/>
    <x v="14"/>
    <x v="1"/>
    <x v="0"/>
    <x v="0"/>
    <x v="0"/>
    <s v="Human Body"/>
    <x v="1"/>
    <n v="3"/>
    <n v="2"/>
    <x v="0"/>
    <x v="1"/>
    <x v="2"/>
    <x v="1"/>
    <x v="1"/>
    <x v="2"/>
    <x v="2"/>
    <x v="5"/>
    <x v="1"/>
    <x v="3"/>
  </r>
  <r>
    <x v="164"/>
    <x v="2"/>
    <x v="4"/>
    <x v="4"/>
    <x v="0"/>
    <x v="0"/>
    <x v="0"/>
    <x v="0"/>
    <s v="Human Body"/>
    <x v="1"/>
    <n v="2"/>
    <n v="1.8"/>
    <x v="0"/>
    <x v="1"/>
    <x v="5"/>
    <x v="1"/>
    <x v="1"/>
    <x v="1"/>
    <x v="1"/>
    <x v="1"/>
    <x v="0"/>
    <x v="0"/>
  </r>
  <r>
    <x v="165"/>
    <x v="10"/>
    <x v="4"/>
    <x v="4"/>
    <x v="0"/>
    <x v="0"/>
    <x v="0"/>
    <x v="0"/>
    <s v="Human Body"/>
    <x v="3"/>
    <n v="3"/>
    <n v="2.7"/>
    <x v="0"/>
    <x v="1"/>
    <x v="22"/>
    <x v="2"/>
    <x v="7"/>
    <x v="0"/>
    <x v="2"/>
    <x v="1"/>
    <x v="2"/>
    <x v="2"/>
  </r>
  <r>
    <x v="166"/>
    <x v="22"/>
    <x v="2"/>
    <x v="2"/>
    <x v="0"/>
    <x v="0"/>
    <x v="1"/>
    <x v="0"/>
    <s v="Human Body"/>
    <x v="3"/>
    <n v="2"/>
    <n v="1.5"/>
    <x v="0"/>
    <x v="1"/>
    <x v="2"/>
    <x v="2"/>
    <x v="3"/>
    <x v="0"/>
    <x v="3"/>
    <x v="2"/>
    <x v="2"/>
    <x v="1"/>
  </r>
  <r>
    <x v="167"/>
    <x v="17"/>
    <x v="10"/>
    <x v="10"/>
    <x v="0"/>
    <x v="2"/>
    <x v="0"/>
    <x v="0"/>
    <s v="Human Body"/>
    <x v="3"/>
    <n v="3"/>
    <n v="2.9"/>
    <x v="0"/>
    <x v="1"/>
    <x v="13"/>
    <x v="1"/>
    <x v="1"/>
    <x v="2"/>
    <x v="2"/>
    <x v="3"/>
    <x v="0"/>
    <x v="2"/>
  </r>
  <r>
    <x v="168"/>
    <x v="19"/>
    <x v="7"/>
    <x v="7"/>
    <x v="1"/>
    <x v="1"/>
    <x v="0"/>
    <x v="0"/>
    <s v="Human Body"/>
    <x v="0"/>
    <n v="3"/>
    <n v="1.9"/>
    <x v="0"/>
    <x v="1"/>
    <x v="21"/>
    <x v="2"/>
    <x v="8"/>
    <x v="2"/>
    <x v="1"/>
    <x v="5"/>
    <x v="2"/>
    <x v="0"/>
  </r>
  <r>
    <x v="169"/>
    <x v="12"/>
    <x v="10"/>
    <x v="10"/>
    <x v="0"/>
    <x v="2"/>
    <x v="0"/>
    <x v="0"/>
    <s v="Human Body"/>
    <x v="1"/>
    <n v="1"/>
    <n v="0.9"/>
    <x v="0"/>
    <x v="1"/>
    <x v="13"/>
    <x v="1"/>
    <x v="1"/>
    <x v="1"/>
    <x v="4"/>
    <x v="4"/>
    <x v="0"/>
    <x v="3"/>
  </r>
  <r>
    <x v="170"/>
    <x v="17"/>
    <x v="2"/>
    <x v="2"/>
    <x v="0"/>
    <x v="0"/>
    <x v="1"/>
    <x v="0"/>
    <s v="Human Body"/>
    <x v="3"/>
    <n v="4"/>
    <n v="3.6"/>
    <x v="0"/>
    <x v="1"/>
    <x v="5"/>
    <x v="2"/>
    <x v="4"/>
    <x v="0"/>
    <x v="4"/>
    <x v="2"/>
    <x v="2"/>
    <x v="2"/>
  </r>
  <r>
    <x v="171"/>
    <x v="23"/>
    <x v="13"/>
    <x v="13"/>
    <x v="0"/>
    <x v="3"/>
    <x v="0"/>
    <x v="0"/>
    <s v="Human Body"/>
    <x v="1"/>
    <n v="1"/>
    <n v="0.7"/>
    <x v="0"/>
    <x v="1"/>
    <x v="10"/>
    <x v="2"/>
    <x v="9"/>
    <x v="1"/>
    <x v="0"/>
    <x v="3"/>
    <x v="2"/>
    <x v="2"/>
  </r>
  <r>
    <x v="172"/>
    <x v="19"/>
    <x v="2"/>
    <x v="2"/>
    <x v="0"/>
    <x v="0"/>
    <x v="1"/>
    <x v="0"/>
    <s v="Human Body"/>
    <x v="0"/>
    <n v="2"/>
    <n v="1.6"/>
    <x v="0"/>
    <x v="1"/>
    <x v="34"/>
    <x v="0"/>
    <x v="10"/>
    <x v="0"/>
    <x v="1"/>
    <x v="1"/>
    <x v="0"/>
    <x v="0"/>
  </r>
  <r>
    <x v="173"/>
    <x v="24"/>
    <x v="12"/>
    <x v="12"/>
    <x v="0"/>
    <x v="3"/>
    <x v="0"/>
    <x v="0"/>
    <s v="Human Body"/>
    <x v="2"/>
    <n v="2"/>
    <n v="1.4"/>
    <x v="0"/>
    <x v="1"/>
    <x v="15"/>
    <x v="0"/>
    <x v="0"/>
    <x v="2"/>
    <x v="5"/>
    <x v="3"/>
    <x v="1"/>
    <x v="1"/>
  </r>
  <r>
    <x v="174"/>
    <x v="0"/>
    <x v="1"/>
    <x v="1"/>
    <x v="1"/>
    <x v="1"/>
    <x v="1"/>
    <x v="0"/>
    <s v="Human Body"/>
    <x v="2"/>
    <n v="4"/>
    <n v="2.8"/>
    <x v="0"/>
    <x v="1"/>
    <x v="4"/>
    <x v="2"/>
    <x v="7"/>
    <x v="1"/>
    <x v="5"/>
    <x v="4"/>
    <x v="2"/>
    <x v="0"/>
  </r>
  <r>
    <x v="175"/>
    <x v="0"/>
    <x v="4"/>
    <x v="4"/>
    <x v="0"/>
    <x v="0"/>
    <x v="0"/>
    <x v="0"/>
    <s v="Human Body"/>
    <x v="2"/>
    <n v="1"/>
    <n v="0.8"/>
    <x v="0"/>
    <x v="1"/>
    <x v="28"/>
    <x v="0"/>
    <x v="0"/>
    <x v="1"/>
    <x v="3"/>
    <x v="3"/>
    <x v="1"/>
    <x v="0"/>
  </r>
  <r>
    <x v="176"/>
    <x v="9"/>
    <x v="14"/>
    <x v="14"/>
    <x v="1"/>
    <x v="0"/>
    <x v="0"/>
    <x v="0"/>
    <s v="Human Body"/>
    <x v="2"/>
    <n v="1"/>
    <n v="0.9"/>
    <x v="0"/>
    <x v="1"/>
    <x v="13"/>
    <x v="1"/>
    <x v="1"/>
    <x v="0"/>
    <x v="4"/>
    <x v="4"/>
    <x v="0"/>
    <x v="3"/>
  </r>
  <r>
    <x v="177"/>
    <x v="5"/>
    <x v="9"/>
    <x v="9"/>
    <x v="0"/>
    <x v="1"/>
    <x v="1"/>
    <x v="0"/>
    <s v="Human Body"/>
    <x v="1"/>
    <n v="3"/>
    <n v="2.9"/>
    <x v="0"/>
    <x v="1"/>
    <x v="8"/>
    <x v="2"/>
    <x v="0"/>
    <x v="2"/>
    <x v="0"/>
    <x v="1"/>
    <x v="2"/>
    <x v="2"/>
  </r>
  <r>
    <x v="178"/>
    <x v="5"/>
    <x v="9"/>
    <x v="9"/>
    <x v="0"/>
    <x v="1"/>
    <x v="1"/>
    <x v="0"/>
    <s v="Human Body"/>
    <x v="2"/>
    <n v="3"/>
    <n v="2.4"/>
    <x v="0"/>
    <x v="1"/>
    <x v="3"/>
    <x v="0"/>
    <x v="0"/>
    <x v="1"/>
    <x v="4"/>
    <x v="4"/>
    <x v="1"/>
    <x v="2"/>
  </r>
  <r>
    <x v="179"/>
    <x v="18"/>
    <x v="4"/>
    <x v="4"/>
    <x v="0"/>
    <x v="0"/>
    <x v="0"/>
    <x v="0"/>
    <s v="Human Body"/>
    <x v="0"/>
    <n v="3"/>
    <n v="2"/>
    <x v="0"/>
    <x v="1"/>
    <x v="1"/>
    <x v="0"/>
    <x v="0"/>
    <x v="1"/>
    <x v="5"/>
    <x v="0"/>
    <x v="1"/>
    <x v="3"/>
  </r>
  <r>
    <x v="180"/>
    <x v="16"/>
    <x v="1"/>
    <x v="1"/>
    <x v="1"/>
    <x v="1"/>
    <x v="1"/>
    <x v="0"/>
    <s v="Human Body"/>
    <x v="1"/>
    <n v="3"/>
    <n v="1.8"/>
    <x v="0"/>
    <x v="1"/>
    <x v="23"/>
    <x v="2"/>
    <x v="1"/>
    <x v="0"/>
    <x v="4"/>
    <x v="2"/>
    <x v="2"/>
    <x v="0"/>
  </r>
  <r>
    <x v="181"/>
    <x v="19"/>
    <x v="6"/>
    <x v="6"/>
    <x v="1"/>
    <x v="2"/>
    <x v="1"/>
    <x v="0"/>
    <s v="Human Body"/>
    <x v="0"/>
    <n v="4"/>
    <n v="2.5"/>
    <x v="0"/>
    <x v="1"/>
    <x v="0"/>
    <x v="2"/>
    <x v="1"/>
    <x v="1"/>
    <x v="5"/>
    <x v="0"/>
    <x v="2"/>
    <x v="0"/>
  </r>
  <r>
    <x v="182"/>
    <x v="5"/>
    <x v="7"/>
    <x v="7"/>
    <x v="1"/>
    <x v="1"/>
    <x v="0"/>
    <x v="0"/>
    <s v="Human Body"/>
    <x v="2"/>
    <n v="3"/>
    <n v="3"/>
    <x v="0"/>
    <x v="1"/>
    <x v="13"/>
    <x v="1"/>
    <x v="1"/>
    <x v="0"/>
    <x v="5"/>
    <x v="5"/>
    <x v="0"/>
    <x v="2"/>
  </r>
  <r>
    <x v="183"/>
    <x v="25"/>
    <x v="13"/>
    <x v="13"/>
    <x v="0"/>
    <x v="3"/>
    <x v="0"/>
    <x v="0"/>
    <s v="Human Body"/>
    <x v="3"/>
    <n v="3"/>
    <n v="1.9"/>
    <x v="0"/>
    <x v="1"/>
    <x v="18"/>
    <x v="2"/>
    <x v="1"/>
    <x v="0"/>
    <x v="2"/>
    <x v="1"/>
    <x v="2"/>
    <x v="0"/>
  </r>
  <r>
    <x v="184"/>
    <x v="13"/>
    <x v="3"/>
    <x v="3"/>
    <x v="1"/>
    <x v="2"/>
    <x v="0"/>
    <x v="0"/>
    <s v="Human Body"/>
    <x v="2"/>
    <n v="1"/>
    <n v="0.9"/>
    <x v="0"/>
    <x v="1"/>
    <x v="38"/>
    <x v="1"/>
    <x v="1"/>
    <x v="2"/>
    <x v="1"/>
    <x v="5"/>
    <x v="3"/>
    <x v="4"/>
  </r>
  <r>
    <x v="185"/>
    <x v="7"/>
    <x v="7"/>
    <x v="7"/>
    <x v="1"/>
    <x v="1"/>
    <x v="0"/>
    <x v="0"/>
    <s v="Human Body"/>
    <x v="3"/>
    <n v="3"/>
    <n v="2.5"/>
    <x v="0"/>
    <x v="1"/>
    <x v="22"/>
    <x v="2"/>
    <x v="1"/>
    <x v="1"/>
    <x v="1"/>
    <x v="1"/>
    <x v="2"/>
    <x v="3"/>
  </r>
  <r>
    <x v="186"/>
    <x v="4"/>
    <x v="14"/>
    <x v="14"/>
    <x v="1"/>
    <x v="0"/>
    <x v="0"/>
    <x v="0"/>
    <s v="Human Body"/>
    <x v="0"/>
    <n v="3"/>
    <n v="2.4"/>
    <x v="0"/>
    <x v="1"/>
    <x v="20"/>
    <x v="1"/>
    <x v="1"/>
    <x v="1"/>
    <x v="2"/>
    <x v="1"/>
    <x v="0"/>
    <x v="2"/>
  </r>
  <r>
    <x v="187"/>
    <x v="11"/>
    <x v="9"/>
    <x v="9"/>
    <x v="0"/>
    <x v="1"/>
    <x v="1"/>
    <x v="0"/>
    <s v="Human Body"/>
    <x v="3"/>
    <n v="2"/>
    <n v="1.7"/>
    <x v="0"/>
    <x v="1"/>
    <x v="33"/>
    <x v="1"/>
    <x v="1"/>
    <x v="1"/>
    <x v="5"/>
    <x v="4"/>
    <x v="2"/>
    <x v="1"/>
  </r>
  <r>
    <x v="188"/>
    <x v="20"/>
    <x v="6"/>
    <x v="6"/>
    <x v="1"/>
    <x v="2"/>
    <x v="1"/>
    <x v="0"/>
    <s v="Human Body"/>
    <x v="2"/>
    <n v="1"/>
    <n v="0.7"/>
    <x v="0"/>
    <x v="1"/>
    <x v="28"/>
    <x v="0"/>
    <x v="0"/>
    <x v="1"/>
    <x v="2"/>
    <x v="3"/>
    <x v="1"/>
    <x v="2"/>
  </r>
  <r>
    <x v="189"/>
    <x v="19"/>
    <x v="2"/>
    <x v="2"/>
    <x v="0"/>
    <x v="0"/>
    <x v="1"/>
    <x v="0"/>
    <s v="Human Body"/>
    <x v="3"/>
    <n v="3"/>
    <n v="2.7"/>
    <x v="0"/>
    <x v="1"/>
    <x v="10"/>
    <x v="0"/>
    <x v="0"/>
    <x v="1"/>
    <x v="4"/>
    <x v="3"/>
    <x v="1"/>
    <x v="0"/>
  </r>
  <r>
    <x v="190"/>
    <x v="24"/>
    <x v="13"/>
    <x v="13"/>
    <x v="0"/>
    <x v="3"/>
    <x v="0"/>
    <x v="0"/>
    <s v="Human Body"/>
    <x v="1"/>
    <n v="2"/>
    <n v="1.9"/>
    <x v="0"/>
    <x v="1"/>
    <x v="20"/>
    <x v="0"/>
    <x v="0"/>
    <x v="0"/>
    <x v="0"/>
    <x v="1"/>
    <x v="1"/>
    <x v="1"/>
  </r>
  <r>
    <x v="191"/>
    <x v="12"/>
    <x v="11"/>
    <x v="11"/>
    <x v="1"/>
    <x v="1"/>
    <x v="0"/>
    <x v="0"/>
    <s v="Human Body"/>
    <x v="2"/>
    <n v="3"/>
    <n v="2.2999999999999998"/>
    <x v="0"/>
    <x v="1"/>
    <x v="10"/>
    <x v="1"/>
    <x v="1"/>
    <x v="1"/>
    <x v="3"/>
    <x v="1"/>
    <x v="1"/>
    <x v="3"/>
  </r>
  <r>
    <x v="192"/>
    <x v="24"/>
    <x v="11"/>
    <x v="11"/>
    <x v="1"/>
    <x v="1"/>
    <x v="0"/>
    <x v="0"/>
    <s v="Human Body"/>
    <x v="1"/>
    <n v="2"/>
    <n v="1.8"/>
    <x v="0"/>
    <x v="1"/>
    <x v="8"/>
    <x v="1"/>
    <x v="1"/>
    <x v="2"/>
    <x v="5"/>
    <x v="4"/>
    <x v="0"/>
    <x v="1"/>
  </r>
  <r>
    <x v="193"/>
    <x v="16"/>
    <x v="7"/>
    <x v="7"/>
    <x v="1"/>
    <x v="1"/>
    <x v="0"/>
    <x v="0"/>
    <s v="Human Body"/>
    <x v="3"/>
    <n v="2"/>
    <n v="1.3"/>
    <x v="0"/>
    <x v="1"/>
    <x v="22"/>
    <x v="2"/>
    <x v="1"/>
    <x v="1"/>
    <x v="3"/>
    <x v="5"/>
    <x v="2"/>
    <x v="0"/>
  </r>
  <r>
    <x v="194"/>
    <x v="26"/>
    <x v="6"/>
    <x v="6"/>
    <x v="1"/>
    <x v="2"/>
    <x v="1"/>
    <x v="0"/>
    <s v="Human Body"/>
    <x v="3"/>
    <n v="4"/>
    <n v="3.8"/>
    <x v="0"/>
    <x v="1"/>
    <x v="21"/>
    <x v="0"/>
    <x v="0"/>
    <x v="1"/>
    <x v="1"/>
    <x v="0"/>
    <x v="1"/>
    <x v="1"/>
  </r>
  <r>
    <x v="195"/>
    <x v="7"/>
    <x v="4"/>
    <x v="4"/>
    <x v="0"/>
    <x v="0"/>
    <x v="0"/>
    <x v="0"/>
    <s v="Human Body"/>
    <x v="2"/>
    <n v="4"/>
    <n v="2.5"/>
    <x v="0"/>
    <x v="1"/>
    <x v="4"/>
    <x v="2"/>
    <x v="1"/>
    <x v="2"/>
    <x v="1"/>
    <x v="2"/>
    <x v="2"/>
    <x v="3"/>
  </r>
  <r>
    <x v="196"/>
    <x v="21"/>
    <x v="7"/>
    <x v="7"/>
    <x v="1"/>
    <x v="1"/>
    <x v="0"/>
    <x v="0"/>
    <s v="Human Body"/>
    <x v="0"/>
    <n v="4"/>
    <n v="2.8"/>
    <x v="0"/>
    <x v="1"/>
    <x v="16"/>
    <x v="2"/>
    <x v="1"/>
    <x v="2"/>
    <x v="5"/>
    <x v="1"/>
    <x v="2"/>
    <x v="0"/>
  </r>
  <r>
    <x v="197"/>
    <x v="10"/>
    <x v="3"/>
    <x v="3"/>
    <x v="1"/>
    <x v="2"/>
    <x v="0"/>
    <x v="0"/>
    <s v="Human Body"/>
    <x v="3"/>
    <n v="4"/>
    <n v="3.1"/>
    <x v="0"/>
    <x v="1"/>
    <x v="9"/>
    <x v="1"/>
    <x v="1"/>
    <x v="0"/>
    <x v="5"/>
    <x v="2"/>
    <x v="3"/>
    <x v="2"/>
  </r>
  <r>
    <x v="198"/>
    <x v="12"/>
    <x v="12"/>
    <x v="12"/>
    <x v="0"/>
    <x v="3"/>
    <x v="0"/>
    <x v="0"/>
    <s v="Human Body"/>
    <x v="2"/>
    <n v="3"/>
    <n v="2.9"/>
    <x v="0"/>
    <x v="1"/>
    <x v="19"/>
    <x v="0"/>
    <x v="0"/>
    <x v="0"/>
    <x v="0"/>
    <x v="5"/>
    <x v="1"/>
    <x v="3"/>
  </r>
  <r>
    <x v="199"/>
    <x v="12"/>
    <x v="7"/>
    <x v="7"/>
    <x v="1"/>
    <x v="1"/>
    <x v="0"/>
    <x v="0"/>
    <s v="Human Body"/>
    <x v="2"/>
    <n v="3"/>
    <n v="3"/>
    <x v="0"/>
    <x v="1"/>
    <x v="39"/>
    <x v="0"/>
    <x v="0"/>
    <x v="0"/>
    <x v="1"/>
    <x v="4"/>
    <x v="1"/>
    <x v="3"/>
  </r>
  <r>
    <x v="200"/>
    <x v="2"/>
    <x v="9"/>
    <x v="9"/>
    <x v="0"/>
    <x v="1"/>
    <x v="1"/>
    <x v="0"/>
    <s v="Human Body"/>
    <x v="0"/>
    <n v="3"/>
    <n v="3"/>
    <x v="0"/>
    <x v="1"/>
    <x v="1"/>
    <x v="0"/>
    <x v="0"/>
    <x v="2"/>
    <x v="0"/>
    <x v="2"/>
    <x v="1"/>
    <x v="0"/>
  </r>
  <r>
    <x v="201"/>
    <x v="11"/>
    <x v="10"/>
    <x v="10"/>
    <x v="0"/>
    <x v="2"/>
    <x v="0"/>
    <x v="0"/>
    <s v="Human Body"/>
    <x v="3"/>
    <n v="3"/>
    <n v="2.9"/>
    <x v="0"/>
    <x v="1"/>
    <x v="27"/>
    <x v="1"/>
    <x v="1"/>
    <x v="2"/>
    <x v="1"/>
    <x v="3"/>
    <x v="3"/>
    <x v="1"/>
  </r>
  <r>
    <x v="202"/>
    <x v="27"/>
    <x v="11"/>
    <x v="11"/>
    <x v="1"/>
    <x v="1"/>
    <x v="0"/>
    <x v="0"/>
    <s v="Human Body"/>
    <x v="1"/>
    <n v="1"/>
    <n v="0.8"/>
    <x v="0"/>
    <x v="1"/>
    <x v="27"/>
    <x v="1"/>
    <x v="1"/>
    <x v="0"/>
    <x v="5"/>
    <x v="3"/>
    <x v="3"/>
    <x v="3"/>
  </r>
  <r>
    <x v="203"/>
    <x v="0"/>
    <x v="5"/>
    <x v="5"/>
    <x v="0"/>
    <x v="3"/>
    <x v="1"/>
    <x v="0"/>
    <s v="Human Body"/>
    <x v="1"/>
    <n v="2"/>
    <n v="1.4"/>
    <x v="0"/>
    <x v="1"/>
    <x v="30"/>
    <x v="1"/>
    <x v="1"/>
    <x v="0"/>
    <x v="5"/>
    <x v="2"/>
    <x v="1"/>
    <x v="0"/>
  </r>
  <r>
    <x v="204"/>
    <x v="18"/>
    <x v="12"/>
    <x v="12"/>
    <x v="0"/>
    <x v="3"/>
    <x v="0"/>
    <x v="0"/>
    <s v="Human Body"/>
    <x v="1"/>
    <n v="2"/>
    <n v="1.5"/>
    <x v="0"/>
    <x v="1"/>
    <x v="14"/>
    <x v="1"/>
    <x v="1"/>
    <x v="2"/>
    <x v="0"/>
    <x v="3"/>
    <x v="0"/>
    <x v="3"/>
  </r>
  <r>
    <x v="205"/>
    <x v="15"/>
    <x v="13"/>
    <x v="13"/>
    <x v="0"/>
    <x v="3"/>
    <x v="0"/>
    <x v="0"/>
    <s v="Human Body"/>
    <x v="0"/>
    <n v="4"/>
    <n v="3.4"/>
    <x v="0"/>
    <x v="1"/>
    <x v="4"/>
    <x v="2"/>
    <x v="2"/>
    <x v="1"/>
    <x v="1"/>
    <x v="2"/>
    <x v="2"/>
    <x v="0"/>
  </r>
  <r>
    <x v="206"/>
    <x v="2"/>
    <x v="2"/>
    <x v="2"/>
    <x v="0"/>
    <x v="0"/>
    <x v="1"/>
    <x v="0"/>
    <s v="Human Body"/>
    <x v="0"/>
    <n v="1"/>
    <n v="1"/>
    <x v="0"/>
    <x v="1"/>
    <x v="8"/>
    <x v="2"/>
    <x v="2"/>
    <x v="0"/>
    <x v="5"/>
    <x v="5"/>
    <x v="2"/>
    <x v="0"/>
  </r>
  <r>
    <x v="207"/>
    <x v="23"/>
    <x v="7"/>
    <x v="7"/>
    <x v="1"/>
    <x v="1"/>
    <x v="0"/>
    <x v="0"/>
    <s v="Human Body"/>
    <x v="2"/>
    <n v="4"/>
    <n v="3.7"/>
    <x v="0"/>
    <x v="1"/>
    <x v="3"/>
    <x v="1"/>
    <x v="1"/>
    <x v="2"/>
    <x v="2"/>
    <x v="2"/>
    <x v="0"/>
    <x v="2"/>
  </r>
  <r>
    <x v="208"/>
    <x v="7"/>
    <x v="4"/>
    <x v="4"/>
    <x v="0"/>
    <x v="0"/>
    <x v="0"/>
    <x v="0"/>
    <s v="Human Body"/>
    <x v="3"/>
    <n v="4"/>
    <n v="3.5"/>
    <x v="0"/>
    <x v="1"/>
    <x v="27"/>
    <x v="2"/>
    <x v="2"/>
    <x v="1"/>
    <x v="3"/>
    <x v="3"/>
    <x v="2"/>
    <x v="3"/>
  </r>
  <r>
    <x v="209"/>
    <x v="20"/>
    <x v="13"/>
    <x v="13"/>
    <x v="0"/>
    <x v="3"/>
    <x v="0"/>
    <x v="0"/>
    <s v="Human Body"/>
    <x v="0"/>
    <n v="4"/>
    <n v="4"/>
    <x v="0"/>
    <x v="1"/>
    <x v="9"/>
    <x v="2"/>
    <x v="2"/>
    <x v="1"/>
    <x v="3"/>
    <x v="2"/>
    <x v="2"/>
    <x v="2"/>
  </r>
  <r>
    <x v="210"/>
    <x v="29"/>
    <x v="7"/>
    <x v="7"/>
    <x v="1"/>
    <x v="1"/>
    <x v="0"/>
    <x v="0"/>
    <s v="Human Body"/>
    <x v="0"/>
    <n v="1"/>
    <n v="0.7"/>
    <x v="0"/>
    <x v="1"/>
    <x v="20"/>
    <x v="0"/>
    <x v="0"/>
    <x v="0"/>
    <x v="1"/>
    <x v="4"/>
    <x v="1"/>
    <x v="2"/>
  </r>
  <r>
    <x v="211"/>
    <x v="14"/>
    <x v="14"/>
    <x v="14"/>
    <x v="1"/>
    <x v="0"/>
    <x v="0"/>
    <x v="0"/>
    <s v="Human Body"/>
    <x v="2"/>
    <n v="2"/>
    <n v="1.9"/>
    <x v="0"/>
    <x v="1"/>
    <x v="20"/>
    <x v="1"/>
    <x v="1"/>
    <x v="1"/>
    <x v="4"/>
    <x v="1"/>
    <x v="0"/>
    <x v="4"/>
  </r>
  <r>
    <x v="212"/>
    <x v="21"/>
    <x v="5"/>
    <x v="5"/>
    <x v="0"/>
    <x v="3"/>
    <x v="1"/>
    <x v="0"/>
    <s v="Human Body"/>
    <x v="0"/>
    <n v="4"/>
    <n v="2.4"/>
    <x v="0"/>
    <x v="1"/>
    <x v="3"/>
    <x v="0"/>
    <x v="0"/>
    <x v="1"/>
    <x v="5"/>
    <x v="5"/>
    <x v="0"/>
    <x v="0"/>
  </r>
  <r>
    <x v="213"/>
    <x v="9"/>
    <x v="9"/>
    <x v="9"/>
    <x v="0"/>
    <x v="1"/>
    <x v="1"/>
    <x v="0"/>
    <s v="Human Body"/>
    <x v="2"/>
    <n v="2"/>
    <n v="1.5"/>
    <x v="0"/>
    <x v="1"/>
    <x v="33"/>
    <x v="2"/>
    <x v="4"/>
    <x v="1"/>
    <x v="1"/>
    <x v="0"/>
    <x v="2"/>
    <x v="3"/>
  </r>
  <r>
    <x v="214"/>
    <x v="13"/>
    <x v="3"/>
    <x v="3"/>
    <x v="1"/>
    <x v="2"/>
    <x v="0"/>
    <x v="0"/>
    <s v="Human Body"/>
    <x v="0"/>
    <n v="3"/>
    <n v="2.4"/>
    <x v="0"/>
    <x v="1"/>
    <x v="22"/>
    <x v="2"/>
    <x v="7"/>
    <x v="0"/>
    <x v="4"/>
    <x v="3"/>
    <x v="2"/>
    <x v="4"/>
  </r>
  <r>
    <x v="215"/>
    <x v="9"/>
    <x v="0"/>
    <x v="0"/>
    <x v="0"/>
    <x v="0"/>
    <x v="0"/>
    <x v="0"/>
    <s v="Human Body"/>
    <x v="0"/>
    <n v="4"/>
    <n v="3.3"/>
    <x v="0"/>
    <x v="1"/>
    <x v="19"/>
    <x v="0"/>
    <x v="0"/>
    <x v="0"/>
    <x v="1"/>
    <x v="2"/>
    <x v="1"/>
    <x v="3"/>
  </r>
  <r>
    <x v="216"/>
    <x v="12"/>
    <x v="1"/>
    <x v="1"/>
    <x v="1"/>
    <x v="1"/>
    <x v="1"/>
    <x v="0"/>
    <s v="Human Body"/>
    <x v="2"/>
    <n v="2"/>
    <n v="1.3"/>
    <x v="0"/>
    <x v="1"/>
    <x v="20"/>
    <x v="2"/>
    <x v="2"/>
    <x v="0"/>
    <x v="5"/>
    <x v="1"/>
    <x v="2"/>
    <x v="3"/>
  </r>
  <r>
    <x v="217"/>
    <x v="14"/>
    <x v="0"/>
    <x v="0"/>
    <x v="0"/>
    <x v="0"/>
    <x v="0"/>
    <x v="0"/>
    <s v="Human Body"/>
    <x v="3"/>
    <n v="4"/>
    <n v="3.2"/>
    <x v="0"/>
    <x v="1"/>
    <x v="9"/>
    <x v="0"/>
    <x v="0"/>
    <x v="0"/>
    <x v="5"/>
    <x v="4"/>
    <x v="1"/>
    <x v="4"/>
  </r>
  <r>
    <x v="218"/>
    <x v="19"/>
    <x v="7"/>
    <x v="7"/>
    <x v="1"/>
    <x v="1"/>
    <x v="0"/>
    <x v="0"/>
    <s v="Human Body"/>
    <x v="1"/>
    <n v="4"/>
    <n v="2.6"/>
    <x v="0"/>
    <x v="1"/>
    <x v="18"/>
    <x v="0"/>
    <x v="0"/>
    <x v="2"/>
    <x v="2"/>
    <x v="0"/>
    <x v="2"/>
    <x v="0"/>
  </r>
  <r>
    <x v="219"/>
    <x v="8"/>
    <x v="5"/>
    <x v="5"/>
    <x v="0"/>
    <x v="3"/>
    <x v="1"/>
    <x v="0"/>
    <s v="Human Body"/>
    <x v="0"/>
    <n v="2"/>
    <n v="1.2"/>
    <x v="0"/>
    <x v="1"/>
    <x v="2"/>
    <x v="2"/>
    <x v="2"/>
    <x v="2"/>
    <x v="5"/>
    <x v="0"/>
    <x v="2"/>
    <x v="3"/>
  </r>
  <r>
    <x v="220"/>
    <x v="11"/>
    <x v="2"/>
    <x v="2"/>
    <x v="0"/>
    <x v="0"/>
    <x v="1"/>
    <x v="0"/>
    <s v="Human Body"/>
    <x v="3"/>
    <n v="2"/>
    <n v="1.4"/>
    <x v="0"/>
    <x v="1"/>
    <x v="15"/>
    <x v="2"/>
    <x v="2"/>
    <x v="2"/>
    <x v="1"/>
    <x v="5"/>
    <x v="2"/>
    <x v="1"/>
  </r>
  <r>
    <x v="221"/>
    <x v="24"/>
    <x v="3"/>
    <x v="3"/>
    <x v="1"/>
    <x v="2"/>
    <x v="0"/>
    <x v="0"/>
    <s v="Human Body"/>
    <x v="3"/>
    <n v="3"/>
    <n v="2.6"/>
    <x v="0"/>
    <x v="1"/>
    <x v="4"/>
    <x v="2"/>
    <x v="2"/>
    <x v="2"/>
    <x v="5"/>
    <x v="4"/>
    <x v="2"/>
    <x v="1"/>
  </r>
  <r>
    <x v="222"/>
    <x v="25"/>
    <x v="14"/>
    <x v="14"/>
    <x v="1"/>
    <x v="0"/>
    <x v="0"/>
    <x v="0"/>
    <s v="Human Body"/>
    <x v="2"/>
    <n v="4"/>
    <n v="2.7"/>
    <x v="0"/>
    <x v="1"/>
    <x v="22"/>
    <x v="0"/>
    <x v="0"/>
    <x v="1"/>
    <x v="4"/>
    <x v="0"/>
    <x v="1"/>
    <x v="0"/>
  </r>
  <r>
    <x v="223"/>
    <x v="29"/>
    <x v="4"/>
    <x v="4"/>
    <x v="0"/>
    <x v="0"/>
    <x v="0"/>
    <x v="0"/>
    <s v="Human Body"/>
    <x v="2"/>
    <n v="4"/>
    <n v="2.7"/>
    <x v="0"/>
    <x v="1"/>
    <x v="1"/>
    <x v="1"/>
    <x v="1"/>
    <x v="1"/>
    <x v="3"/>
    <x v="0"/>
    <x v="0"/>
    <x v="2"/>
  </r>
  <r>
    <x v="224"/>
    <x v="13"/>
    <x v="7"/>
    <x v="7"/>
    <x v="1"/>
    <x v="1"/>
    <x v="0"/>
    <x v="0"/>
    <s v="Human Body"/>
    <x v="0"/>
    <n v="2"/>
    <n v="1.2"/>
    <x v="0"/>
    <x v="1"/>
    <x v="33"/>
    <x v="0"/>
    <x v="0"/>
    <x v="2"/>
    <x v="2"/>
    <x v="4"/>
    <x v="2"/>
    <x v="4"/>
  </r>
  <r>
    <x v="225"/>
    <x v="29"/>
    <x v="3"/>
    <x v="3"/>
    <x v="1"/>
    <x v="2"/>
    <x v="0"/>
    <x v="0"/>
    <s v="Human Body"/>
    <x v="2"/>
    <n v="3"/>
    <n v="2.2999999999999998"/>
    <x v="0"/>
    <x v="1"/>
    <x v="29"/>
    <x v="0"/>
    <x v="0"/>
    <x v="2"/>
    <x v="1"/>
    <x v="2"/>
    <x v="1"/>
    <x v="2"/>
  </r>
  <r>
    <x v="226"/>
    <x v="4"/>
    <x v="4"/>
    <x v="4"/>
    <x v="0"/>
    <x v="0"/>
    <x v="0"/>
    <x v="0"/>
    <s v="Human Body"/>
    <x v="3"/>
    <n v="1"/>
    <n v="0.8"/>
    <x v="0"/>
    <x v="1"/>
    <x v="10"/>
    <x v="0"/>
    <x v="0"/>
    <x v="1"/>
    <x v="2"/>
    <x v="4"/>
    <x v="1"/>
    <x v="2"/>
  </r>
  <r>
    <x v="227"/>
    <x v="1"/>
    <x v="9"/>
    <x v="9"/>
    <x v="0"/>
    <x v="1"/>
    <x v="1"/>
    <x v="0"/>
    <s v="Human Body"/>
    <x v="2"/>
    <n v="3"/>
    <n v="2"/>
    <x v="0"/>
    <x v="1"/>
    <x v="40"/>
    <x v="2"/>
    <x v="2"/>
    <x v="0"/>
    <x v="2"/>
    <x v="5"/>
    <x v="2"/>
    <x v="1"/>
  </r>
  <r>
    <x v="228"/>
    <x v="19"/>
    <x v="6"/>
    <x v="6"/>
    <x v="1"/>
    <x v="2"/>
    <x v="1"/>
    <x v="0"/>
    <s v="Human Body"/>
    <x v="3"/>
    <n v="4"/>
    <n v="3.6"/>
    <x v="0"/>
    <x v="1"/>
    <x v="32"/>
    <x v="2"/>
    <x v="2"/>
    <x v="1"/>
    <x v="5"/>
    <x v="0"/>
    <x v="2"/>
    <x v="0"/>
  </r>
  <r>
    <x v="229"/>
    <x v="3"/>
    <x v="3"/>
    <x v="3"/>
    <x v="1"/>
    <x v="2"/>
    <x v="0"/>
    <x v="0"/>
    <s v="Human Body"/>
    <x v="3"/>
    <n v="2"/>
    <n v="1.8"/>
    <x v="0"/>
    <x v="1"/>
    <x v="29"/>
    <x v="2"/>
    <x v="2"/>
    <x v="0"/>
    <x v="1"/>
    <x v="3"/>
    <x v="2"/>
    <x v="1"/>
  </r>
  <r>
    <x v="230"/>
    <x v="20"/>
    <x v="6"/>
    <x v="6"/>
    <x v="1"/>
    <x v="2"/>
    <x v="1"/>
    <x v="0"/>
    <s v="Human Body"/>
    <x v="0"/>
    <n v="2"/>
    <n v="1.3"/>
    <x v="0"/>
    <x v="1"/>
    <x v="14"/>
    <x v="0"/>
    <x v="0"/>
    <x v="0"/>
    <x v="3"/>
    <x v="5"/>
    <x v="1"/>
    <x v="2"/>
  </r>
  <r>
    <x v="231"/>
    <x v="10"/>
    <x v="5"/>
    <x v="5"/>
    <x v="0"/>
    <x v="3"/>
    <x v="1"/>
    <x v="0"/>
    <s v="Human Body"/>
    <x v="0"/>
    <n v="1"/>
    <n v="0.9"/>
    <x v="0"/>
    <x v="1"/>
    <x v="2"/>
    <x v="0"/>
    <x v="0"/>
    <x v="1"/>
    <x v="3"/>
    <x v="5"/>
    <x v="1"/>
    <x v="2"/>
  </r>
  <r>
    <x v="232"/>
    <x v="28"/>
    <x v="2"/>
    <x v="2"/>
    <x v="0"/>
    <x v="0"/>
    <x v="1"/>
    <x v="0"/>
    <s v="Human Body"/>
    <x v="2"/>
    <n v="3"/>
    <n v="2.8"/>
    <x v="0"/>
    <x v="1"/>
    <x v="17"/>
    <x v="0"/>
    <x v="0"/>
    <x v="0"/>
    <x v="3"/>
    <x v="3"/>
    <x v="1"/>
    <x v="3"/>
  </r>
  <r>
    <x v="233"/>
    <x v="10"/>
    <x v="1"/>
    <x v="1"/>
    <x v="1"/>
    <x v="1"/>
    <x v="1"/>
    <x v="0"/>
    <s v="Human Body"/>
    <x v="0"/>
    <n v="2"/>
    <n v="1.8"/>
    <x v="0"/>
    <x v="1"/>
    <x v="11"/>
    <x v="2"/>
    <x v="2"/>
    <x v="1"/>
    <x v="3"/>
    <x v="5"/>
    <x v="2"/>
    <x v="2"/>
  </r>
  <r>
    <x v="234"/>
    <x v="26"/>
    <x v="9"/>
    <x v="9"/>
    <x v="0"/>
    <x v="1"/>
    <x v="1"/>
    <x v="0"/>
    <s v="Human Body"/>
    <x v="1"/>
    <n v="4"/>
    <n v="3.2"/>
    <x v="0"/>
    <x v="1"/>
    <x v="19"/>
    <x v="2"/>
    <x v="2"/>
    <x v="0"/>
    <x v="0"/>
    <x v="0"/>
    <x v="2"/>
    <x v="1"/>
  </r>
  <r>
    <x v="235"/>
    <x v="25"/>
    <x v="2"/>
    <x v="2"/>
    <x v="0"/>
    <x v="0"/>
    <x v="1"/>
    <x v="0"/>
    <s v="Human Body"/>
    <x v="0"/>
    <n v="1"/>
    <n v="0.8"/>
    <x v="0"/>
    <x v="1"/>
    <x v="19"/>
    <x v="2"/>
    <x v="2"/>
    <x v="0"/>
    <x v="0"/>
    <x v="1"/>
    <x v="2"/>
    <x v="0"/>
  </r>
  <r>
    <x v="236"/>
    <x v="1"/>
    <x v="13"/>
    <x v="13"/>
    <x v="0"/>
    <x v="3"/>
    <x v="0"/>
    <x v="0"/>
    <s v="Human Body"/>
    <x v="2"/>
    <n v="4"/>
    <n v="3.4"/>
    <x v="0"/>
    <x v="1"/>
    <x v="32"/>
    <x v="0"/>
    <x v="0"/>
    <x v="0"/>
    <x v="1"/>
    <x v="2"/>
    <x v="1"/>
    <x v="1"/>
  </r>
  <r>
    <x v="237"/>
    <x v="7"/>
    <x v="0"/>
    <x v="0"/>
    <x v="0"/>
    <x v="0"/>
    <x v="0"/>
    <x v="0"/>
    <s v="Human Body"/>
    <x v="1"/>
    <n v="4"/>
    <n v="2.6"/>
    <x v="0"/>
    <x v="1"/>
    <x v="13"/>
    <x v="0"/>
    <x v="0"/>
    <x v="2"/>
    <x v="3"/>
    <x v="3"/>
    <x v="0"/>
    <x v="3"/>
  </r>
  <r>
    <x v="238"/>
    <x v="0"/>
    <x v="0"/>
    <x v="0"/>
    <x v="0"/>
    <x v="0"/>
    <x v="0"/>
    <x v="0"/>
    <s v="Human Body"/>
    <x v="3"/>
    <n v="1"/>
    <n v="1"/>
    <x v="0"/>
    <x v="1"/>
    <x v="13"/>
    <x v="2"/>
    <x v="2"/>
    <x v="0"/>
    <x v="4"/>
    <x v="1"/>
    <x v="2"/>
    <x v="0"/>
  </r>
  <r>
    <x v="239"/>
    <x v="3"/>
    <x v="5"/>
    <x v="5"/>
    <x v="0"/>
    <x v="3"/>
    <x v="1"/>
    <x v="0"/>
    <s v="Human Body"/>
    <x v="3"/>
    <n v="3"/>
    <n v="2.4"/>
    <x v="0"/>
    <x v="1"/>
    <x v="4"/>
    <x v="0"/>
    <x v="0"/>
    <x v="2"/>
    <x v="4"/>
    <x v="2"/>
    <x v="1"/>
    <x v="1"/>
  </r>
  <r>
    <x v="240"/>
    <x v="9"/>
    <x v="3"/>
    <x v="3"/>
    <x v="1"/>
    <x v="2"/>
    <x v="0"/>
    <x v="0"/>
    <s v="Human Body"/>
    <x v="2"/>
    <n v="4"/>
    <n v="2.6"/>
    <x v="0"/>
    <x v="1"/>
    <x v="18"/>
    <x v="2"/>
    <x v="2"/>
    <x v="0"/>
    <x v="0"/>
    <x v="2"/>
    <x v="2"/>
    <x v="3"/>
  </r>
  <r>
    <x v="241"/>
    <x v="10"/>
    <x v="12"/>
    <x v="12"/>
    <x v="0"/>
    <x v="3"/>
    <x v="0"/>
    <x v="0"/>
    <s v="Human Body"/>
    <x v="1"/>
    <n v="2"/>
    <n v="1.7"/>
    <x v="0"/>
    <x v="1"/>
    <x v="1"/>
    <x v="1"/>
    <x v="1"/>
    <x v="2"/>
    <x v="4"/>
    <x v="0"/>
    <x v="0"/>
    <x v="2"/>
  </r>
  <r>
    <x v="242"/>
    <x v="0"/>
    <x v="10"/>
    <x v="10"/>
    <x v="0"/>
    <x v="2"/>
    <x v="0"/>
    <x v="0"/>
    <s v="Human Body"/>
    <x v="1"/>
    <n v="1"/>
    <n v="0.6"/>
    <x v="0"/>
    <x v="1"/>
    <x v="0"/>
    <x v="2"/>
    <x v="2"/>
    <x v="1"/>
    <x v="3"/>
    <x v="4"/>
    <x v="2"/>
    <x v="0"/>
  </r>
  <r>
    <x v="243"/>
    <x v="18"/>
    <x v="2"/>
    <x v="2"/>
    <x v="0"/>
    <x v="0"/>
    <x v="1"/>
    <x v="0"/>
    <s v="Human Body"/>
    <x v="3"/>
    <n v="4"/>
    <n v="3.7"/>
    <x v="0"/>
    <x v="1"/>
    <x v="13"/>
    <x v="0"/>
    <x v="0"/>
    <x v="2"/>
    <x v="1"/>
    <x v="2"/>
    <x v="1"/>
    <x v="3"/>
  </r>
  <r>
    <x v="244"/>
    <x v="26"/>
    <x v="1"/>
    <x v="1"/>
    <x v="1"/>
    <x v="1"/>
    <x v="1"/>
    <x v="0"/>
    <s v="Human Body"/>
    <x v="1"/>
    <n v="2"/>
    <n v="1.9"/>
    <x v="0"/>
    <x v="1"/>
    <x v="1"/>
    <x v="2"/>
    <x v="2"/>
    <x v="1"/>
    <x v="4"/>
    <x v="4"/>
    <x v="2"/>
    <x v="1"/>
  </r>
  <r>
    <x v="245"/>
    <x v="1"/>
    <x v="6"/>
    <x v="6"/>
    <x v="1"/>
    <x v="2"/>
    <x v="1"/>
    <x v="0"/>
    <s v="Human Body"/>
    <x v="2"/>
    <n v="1"/>
    <n v="0.7"/>
    <x v="0"/>
    <x v="1"/>
    <x v="15"/>
    <x v="2"/>
    <x v="2"/>
    <x v="1"/>
    <x v="1"/>
    <x v="4"/>
    <x v="2"/>
    <x v="1"/>
  </r>
  <r>
    <x v="246"/>
    <x v="24"/>
    <x v="3"/>
    <x v="3"/>
    <x v="1"/>
    <x v="2"/>
    <x v="0"/>
    <x v="0"/>
    <s v="Human Body"/>
    <x v="1"/>
    <n v="1"/>
    <n v="0.8"/>
    <x v="0"/>
    <x v="1"/>
    <x v="13"/>
    <x v="0"/>
    <x v="0"/>
    <x v="2"/>
    <x v="3"/>
    <x v="0"/>
    <x v="0"/>
    <x v="1"/>
  </r>
  <r>
    <x v="247"/>
    <x v="18"/>
    <x v="10"/>
    <x v="10"/>
    <x v="0"/>
    <x v="2"/>
    <x v="0"/>
    <x v="0"/>
    <s v="Human Body"/>
    <x v="2"/>
    <n v="2"/>
    <n v="1.2"/>
    <x v="0"/>
    <x v="1"/>
    <x v="3"/>
    <x v="1"/>
    <x v="1"/>
    <x v="0"/>
    <x v="0"/>
    <x v="2"/>
    <x v="0"/>
    <x v="3"/>
  </r>
  <r>
    <x v="248"/>
    <x v="9"/>
    <x v="11"/>
    <x v="11"/>
    <x v="1"/>
    <x v="1"/>
    <x v="0"/>
    <x v="0"/>
    <s v="Human Body"/>
    <x v="0"/>
    <n v="1"/>
    <n v="0.9"/>
    <x v="0"/>
    <x v="1"/>
    <x v="10"/>
    <x v="0"/>
    <x v="0"/>
    <x v="0"/>
    <x v="3"/>
    <x v="2"/>
    <x v="1"/>
    <x v="3"/>
  </r>
  <r>
    <x v="249"/>
    <x v="16"/>
    <x v="9"/>
    <x v="9"/>
    <x v="0"/>
    <x v="1"/>
    <x v="1"/>
    <x v="0"/>
    <s v="Human Body"/>
    <x v="3"/>
    <n v="2"/>
    <n v="1.2"/>
    <x v="0"/>
    <x v="1"/>
    <x v="5"/>
    <x v="2"/>
    <x v="2"/>
    <x v="0"/>
    <x v="4"/>
    <x v="4"/>
    <x v="2"/>
    <x v="0"/>
  </r>
  <r>
    <x v="250"/>
    <x v="4"/>
    <x v="2"/>
    <x v="2"/>
    <x v="0"/>
    <x v="0"/>
    <x v="1"/>
    <x v="0"/>
    <s v="Human Body"/>
    <x v="2"/>
    <n v="2"/>
    <n v="1.3"/>
    <x v="0"/>
    <x v="1"/>
    <x v="11"/>
    <x v="1"/>
    <x v="1"/>
    <x v="2"/>
    <x v="5"/>
    <x v="1"/>
    <x v="3"/>
    <x v="2"/>
  </r>
  <r>
    <x v="251"/>
    <x v="2"/>
    <x v="2"/>
    <x v="2"/>
    <x v="0"/>
    <x v="0"/>
    <x v="1"/>
    <x v="0"/>
    <s v="Human Body"/>
    <x v="0"/>
    <n v="3"/>
    <n v="2.6"/>
    <x v="0"/>
    <x v="1"/>
    <x v="19"/>
    <x v="1"/>
    <x v="1"/>
    <x v="0"/>
    <x v="3"/>
    <x v="5"/>
    <x v="0"/>
    <x v="0"/>
  </r>
  <r>
    <x v="252"/>
    <x v="19"/>
    <x v="14"/>
    <x v="14"/>
    <x v="1"/>
    <x v="0"/>
    <x v="0"/>
    <x v="0"/>
    <s v="Human Body"/>
    <x v="1"/>
    <n v="2"/>
    <n v="1.2"/>
    <x v="0"/>
    <x v="1"/>
    <x v="3"/>
    <x v="2"/>
    <x v="2"/>
    <x v="0"/>
    <x v="0"/>
    <x v="5"/>
    <x v="2"/>
    <x v="0"/>
  </r>
  <r>
    <x v="253"/>
    <x v="11"/>
    <x v="4"/>
    <x v="4"/>
    <x v="0"/>
    <x v="0"/>
    <x v="0"/>
    <x v="0"/>
    <s v="Human Body"/>
    <x v="1"/>
    <n v="1"/>
    <n v="0.8"/>
    <x v="0"/>
    <x v="1"/>
    <x v="20"/>
    <x v="2"/>
    <x v="2"/>
    <x v="0"/>
    <x v="4"/>
    <x v="3"/>
    <x v="2"/>
    <x v="1"/>
  </r>
  <r>
    <x v="254"/>
    <x v="9"/>
    <x v="4"/>
    <x v="4"/>
    <x v="0"/>
    <x v="0"/>
    <x v="0"/>
    <x v="0"/>
    <s v="Human Body"/>
    <x v="0"/>
    <n v="1"/>
    <n v="0.9"/>
    <x v="0"/>
    <x v="1"/>
    <x v="20"/>
    <x v="1"/>
    <x v="1"/>
    <x v="0"/>
    <x v="0"/>
    <x v="2"/>
    <x v="0"/>
    <x v="3"/>
  </r>
  <r>
    <x v="255"/>
    <x v="21"/>
    <x v="6"/>
    <x v="6"/>
    <x v="1"/>
    <x v="2"/>
    <x v="1"/>
    <x v="0"/>
    <s v="Human Body"/>
    <x v="3"/>
    <n v="4"/>
    <n v="3.8"/>
    <x v="0"/>
    <x v="1"/>
    <x v="13"/>
    <x v="2"/>
    <x v="2"/>
    <x v="1"/>
    <x v="1"/>
    <x v="5"/>
    <x v="2"/>
    <x v="0"/>
  </r>
  <r>
    <x v="256"/>
    <x v="22"/>
    <x v="13"/>
    <x v="13"/>
    <x v="0"/>
    <x v="3"/>
    <x v="0"/>
    <x v="0"/>
    <s v="Human Body"/>
    <x v="3"/>
    <n v="4"/>
    <n v="3.9"/>
    <x v="0"/>
    <x v="1"/>
    <x v="0"/>
    <x v="2"/>
    <x v="2"/>
    <x v="2"/>
    <x v="0"/>
    <x v="3"/>
    <x v="2"/>
    <x v="1"/>
  </r>
  <r>
    <x v="257"/>
    <x v="11"/>
    <x v="8"/>
    <x v="8"/>
    <x v="1"/>
    <x v="4"/>
    <x v="1"/>
    <x v="0"/>
    <s v="Human Body"/>
    <x v="0"/>
    <n v="4"/>
    <n v="3.8"/>
    <x v="0"/>
    <x v="1"/>
    <x v="13"/>
    <x v="0"/>
    <x v="0"/>
    <x v="0"/>
    <x v="0"/>
    <x v="1"/>
    <x v="0"/>
    <x v="1"/>
  </r>
  <r>
    <x v="258"/>
    <x v="16"/>
    <x v="2"/>
    <x v="2"/>
    <x v="0"/>
    <x v="0"/>
    <x v="1"/>
    <x v="0"/>
    <s v="Human Body"/>
    <x v="0"/>
    <n v="4"/>
    <n v="3"/>
    <x v="0"/>
    <x v="1"/>
    <x v="22"/>
    <x v="1"/>
    <x v="1"/>
    <x v="0"/>
    <x v="3"/>
    <x v="4"/>
    <x v="1"/>
    <x v="0"/>
  </r>
  <r>
    <x v="259"/>
    <x v="10"/>
    <x v="4"/>
    <x v="4"/>
    <x v="0"/>
    <x v="0"/>
    <x v="0"/>
    <x v="0"/>
    <s v="Human Body"/>
    <x v="3"/>
    <n v="2"/>
    <n v="1.3"/>
    <x v="0"/>
    <x v="1"/>
    <x v="30"/>
    <x v="2"/>
    <x v="2"/>
    <x v="2"/>
    <x v="3"/>
    <x v="2"/>
    <x v="2"/>
    <x v="2"/>
  </r>
  <r>
    <x v="260"/>
    <x v="25"/>
    <x v="11"/>
    <x v="11"/>
    <x v="1"/>
    <x v="1"/>
    <x v="0"/>
    <x v="0"/>
    <s v="Human Body"/>
    <x v="3"/>
    <n v="3"/>
    <n v="2.2000000000000002"/>
    <x v="0"/>
    <x v="1"/>
    <x v="15"/>
    <x v="2"/>
    <x v="2"/>
    <x v="0"/>
    <x v="0"/>
    <x v="0"/>
    <x v="2"/>
    <x v="0"/>
  </r>
  <r>
    <x v="261"/>
    <x v="9"/>
    <x v="3"/>
    <x v="3"/>
    <x v="1"/>
    <x v="2"/>
    <x v="0"/>
    <x v="0"/>
    <s v="Human Body"/>
    <x v="1"/>
    <n v="2"/>
    <n v="1.5"/>
    <x v="0"/>
    <x v="1"/>
    <x v="14"/>
    <x v="0"/>
    <x v="0"/>
    <x v="1"/>
    <x v="5"/>
    <x v="4"/>
    <x v="0"/>
    <x v="3"/>
  </r>
  <r>
    <x v="262"/>
    <x v="25"/>
    <x v="2"/>
    <x v="2"/>
    <x v="0"/>
    <x v="0"/>
    <x v="1"/>
    <x v="0"/>
    <s v="Human Body"/>
    <x v="2"/>
    <n v="2"/>
    <n v="1.5"/>
    <x v="0"/>
    <x v="1"/>
    <x v="10"/>
    <x v="2"/>
    <x v="2"/>
    <x v="1"/>
    <x v="5"/>
    <x v="5"/>
    <x v="2"/>
    <x v="0"/>
  </r>
  <r>
    <x v="263"/>
    <x v="28"/>
    <x v="9"/>
    <x v="9"/>
    <x v="0"/>
    <x v="1"/>
    <x v="1"/>
    <x v="0"/>
    <s v="Human Body"/>
    <x v="1"/>
    <n v="1"/>
    <n v="0.8"/>
    <x v="0"/>
    <x v="1"/>
    <x v="3"/>
    <x v="2"/>
    <x v="2"/>
    <x v="2"/>
    <x v="4"/>
    <x v="4"/>
    <x v="2"/>
    <x v="3"/>
  </r>
  <r>
    <x v="264"/>
    <x v="13"/>
    <x v="4"/>
    <x v="4"/>
    <x v="0"/>
    <x v="0"/>
    <x v="0"/>
    <x v="0"/>
    <s v="Human Body"/>
    <x v="2"/>
    <n v="1"/>
    <n v="0.7"/>
    <x v="0"/>
    <x v="1"/>
    <x v="22"/>
    <x v="1"/>
    <x v="1"/>
    <x v="1"/>
    <x v="4"/>
    <x v="4"/>
    <x v="1"/>
    <x v="4"/>
  </r>
  <r>
    <x v="265"/>
    <x v="22"/>
    <x v="5"/>
    <x v="5"/>
    <x v="0"/>
    <x v="3"/>
    <x v="1"/>
    <x v="0"/>
    <s v="Human Body"/>
    <x v="2"/>
    <n v="2"/>
    <n v="1.7"/>
    <x v="0"/>
    <x v="1"/>
    <x v="32"/>
    <x v="0"/>
    <x v="0"/>
    <x v="1"/>
    <x v="2"/>
    <x v="2"/>
    <x v="1"/>
    <x v="1"/>
  </r>
  <r>
    <x v="266"/>
    <x v="25"/>
    <x v="1"/>
    <x v="1"/>
    <x v="1"/>
    <x v="1"/>
    <x v="1"/>
    <x v="0"/>
    <s v="Human Body"/>
    <x v="3"/>
    <n v="3"/>
    <n v="2.2000000000000002"/>
    <x v="0"/>
    <x v="1"/>
    <x v="28"/>
    <x v="2"/>
    <x v="2"/>
    <x v="1"/>
    <x v="5"/>
    <x v="3"/>
    <x v="2"/>
    <x v="0"/>
  </r>
  <r>
    <x v="267"/>
    <x v="1"/>
    <x v="7"/>
    <x v="7"/>
    <x v="1"/>
    <x v="1"/>
    <x v="0"/>
    <x v="0"/>
    <s v="Human Body"/>
    <x v="0"/>
    <n v="4"/>
    <n v="3.3"/>
    <x v="0"/>
    <x v="1"/>
    <x v="17"/>
    <x v="0"/>
    <x v="0"/>
    <x v="2"/>
    <x v="2"/>
    <x v="1"/>
    <x v="1"/>
    <x v="1"/>
  </r>
  <r>
    <x v="268"/>
    <x v="20"/>
    <x v="10"/>
    <x v="10"/>
    <x v="0"/>
    <x v="2"/>
    <x v="0"/>
    <x v="0"/>
    <s v="Human Body"/>
    <x v="1"/>
    <n v="2"/>
    <n v="1.8"/>
    <x v="0"/>
    <x v="1"/>
    <x v="2"/>
    <x v="1"/>
    <x v="1"/>
    <x v="1"/>
    <x v="5"/>
    <x v="3"/>
    <x v="1"/>
    <x v="2"/>
  </r>
  <r>
    <x v="269"/>
    <x v="5"/>
    <x v="7"/>
    <x v="7"/>
    <x v="1"/>
    <x v="1"/>
    <x v="0"/>
    <x v="0"/>
    <s v="Human Body"/>
    <x v="1"/>
    <n v="2"/>
    <n v="1.4"/>
    <x v="0"/>
    <x v="1"/>
    <x v="2"/>
    <x v="2"/>
    <x v="2"/>
    <x v="1"/>
    <x v="4"/>
    <x v="2"/>
    <x v="2"/>
    <x v="2"/>
  </r>
  <r>
    <x v="270"/>
    <x v="9"/>
    <x v="11"/>
    <x v="11"/>
    <x v="1"/>
    <x v="1"/>
    <x v="0"/>
    <x v="0"/>
    <s v="Human Body"/>
    <x v="0"/>
    <n v="4"/>
    <n v="3.8"/>
    <x v="0"/>
    <x v="1"/>
    <x v="14"/>
    <x v="0"/>
    <x v="0"/>
    <x v="2"/>
    <x v="4"/>
    <x v="1"/>
    <x v="1"/>
    <x v="3"/>
  </r>
  <r>
    <x v="271"/>
    <x v="29"/>
    <x v="6"/>
    <x v="6"/>
    <x v="1"/>
    <x v="2"/>
    <x v="1"/>
    <x v="0"/>
    <s v="Human Body"/>
    <x v="3"/>
    <n v="4"/>
    <n v="2.6"/>
    <x v="0"/>
    <x v="1"/>
    <x v="30"/>
    <x v="1"/>
    <x v="1"/>
    <x v="2"/>
    <x v="0"/>
    <x v="1"/>
    <x v="1"/>
    <x v="2"/>
  </r>
  <r>
    <x v="272"/>
    <x v="23"/>
    <x v="5"/>
    <x v="5"/>
    <x v="0"/>
    <x v="3"/>
    <x v="1"/>
    <x v="0"/>
    <s v="Human Body"/>
    <x v="1"/>
    <n v="4"/>
    <n v="2.8"/>
    <x v="0"/>
    <x v="1"/>
    <x v="29"/>
    <x v="0"/>
    <x v="0"/>
    <x v="2"/>
    <x v="3"/>
    <x v="1"/>
    <x v="1"/>
    <x v="2"/>
  </r>
  <r>
    <x v="273"/>
    <x v="20"/>
    <x v="9"/>
    <x v="9"/>
    <x v="0"/>
    <x v="1"/>
    <x v="1"/>
    <x v="0"/>
    <s v="Human Body"/>
    <x v="1"/>
    <n v="1"/>
    <n v="1"/>
    <x v="0"/>
    <x v="1"/>
    <x v="21"/>
    <x v="2"/>
    <x v="2"/>
    <x v="0"/>
    <x v="5"/>
    <x v="1"/>
    <x v="2"/>
    <x v="2"/>
  </r>
  <r>
    <x v="274"/>
    <x v="14"/>
    <x v="14"/>
    <x v="14"/>
    <x v="1"/>
    <x v="0"/>
    <x v="0"/>
    <x v="0"/>
    <s v="Human Body"/>
    <x v="2"/>
    <n v="1"/>
    <n v="0.8"/>
    <x v="0"/>
    <x v="1"/>
    <x v="19"/>
    <x v="0"/>
    <x v="0"/>
    <x v="0"/>
    <x v="5"/>
    <x v="4"/>
    <x v="0"/>
    <x v="4"/>
  </r>
  <r>
    <x v="275"/>
    <x v="8"/>
    <x v="11"/>
    <x v="11"/>
    <x v="1"/>
    <x v="1"/>
    <x v="0"/>
    <x v="0"/>
    <s v="Human Body"/>
    <x v="0"/>
    <n v="2"/>
    <n v="1.8"/>
    <x v="0"/>
    <x v="1"/>
    <x v="1"/>
    <x v="2"/>
    <x v="2"/>
    <x v="1"/>
    <x v="2"/>
    <x v="2"/>
    <x v="2"/>
    <x v="3"/>
  </r>
  <r>
    <x v="276"/>
    <x v="15"/>
    <x v="10"/>
    <x v="10"/>
    <x v="0"/>
    <x v="2"/>
    <x v="0"/>
    <x v="0"/>
    <s v="Human Body"/>
    <x v="3"/>
    <n v="4"/>
    <n v="3.4"/>
    <x v="0"/>
    <x v="1"/>
    <x v="9"/>
    <x v="1"/>
    <x v="1"/>
    <x v="2"/>
    <x v="0"/>
    <x v="0"/>
    <x v="3"/>
    <x v="0"/>
  </r>
  <r>
    <x v="277"/>
    <x v="21"/>
    <x v="1"/>
    <x v="1"/>
    <x v="1"/>
    <x v="1"/>
    <x v="1"/>
    <x v="0"/>
    <s v="Human Body"/>
    <x v="0"/>
    <n v="3"/>
    <n v="2.2000000000000002"/>
    <x v="0"/>
    <x v="1"/>
    <x v="29"/>
    <x v="2"/>
    <x v="2"/>
    <x v="0"/>
    <x v="1"/>
    <x v="2"/>
    <x v="2"/>
    <x v="0"/>
  </r>
  <r>
    <x v="278"/>
    <x v="16"/>
    <x v="0"/>
    <x v="0"/>
    <x v="0"/>
    <x v="0"/>
    <x v="0"/>
    <x v="0"/>
    <s v="Human Body"/>
    <x v="1"/>
    <n v="4"/>
    <n v="3.9"/>
    <x v="0"/>
    <x v="1"/>
    <x v="13"/>
    <x v="1"/>
    <x v="1"/>
    <x v="1"/>
    <x v="5"/>
    <x v="5"/>
    <x v="0"/>
    <x v="0"/>
  </r>
  <r>
    <x v="279"/>
    <x v="24"/>
    <x v="12"/>
    <x v="12"/>
    <x v="0"/>
    <x v="3"/>
    <x v="0"/>
    <x v="0"/>
    <s v="Human Body"/>
    <x v="3"/>
    <n v="3"/>
    <n v="2.4"/>
    <x v="0"/>
    <x v="1"/>
    <x v="16"/>
    <x v="1"/>
    <x v="1"/>
    <x v="0"/>
    <x v="0"/>
    <x v="5"/>
    <x v="2"/>
    <x v="1"/>
  </r>
  <r>
    <x v="280"/>
    <x v="10"/>
    <x v="12"/>
    <x v="12"/>
    <x v="0"/>
    <x v="3"/>
    <x v="0"/>
    <x v="0"/>
    <s v="Human Body"/>
    <x v="0"/>
    <n v="2"/>
    <n v="1.3"/>
    <x v="0"/>
    <x v="1"/>
    <x v="20"/>
    <x v="2"/>
    <x v="2"/>
    <x v="1"/>
    <x v="0"/>
    <x v="5"/>
    <x v="2"/>
    <x v="2"/>
  </r>
  <r>
    <x v="281"/>
    <x v="6"/>
    <x v="5"/>
    <x v="5"/>
    <x v="0"/>
    <x v="3"/>
    <x v="1"/>
    <x v="0"/>
    <s v="Human Body"/>
    <x v="1"/>
    <n v="2"/>
    <n v="1.5"/>
    <x v="0"/>
    <x v="1"/>
    <x v="10"/>
    <x v="2"/>
    <x v="2"/>
    <x v="1"/>
    <x v="5"/>
    <x v="3"/>
    <x v="2"/>
    <x v="1"/>
  </r>
  <r>
    <x v="282"/>
    <x v="2"/>
    <x v="1"/>
    <x v="1"/>
    <x v="1"/>
    <x v="1"/>
    <x v="1"/>
    <x v="0"/>
    <s v="Human Body"/>
    <x v="1"/>
    <n v="3"/>
    <n v="3"/>
    <x v="0"/>
    <x v="1"/>
    <x v="22"/>
    <x v="2"/>
    <x v="2"/>
    <x v="2"/>
    <x v="2"/>
    <x v="0"/>
    <x v="2"/>
    <x v="0"/>
  </r>
  <r>
    <x v="283"/>
    <x v="15"/>
    <x v="3"/>
    <x v="3"/>
    <x v="1"/>
    <x v="2"/>
    <x v="0"/>
    <x v="0"/>
    <s v="Human Body"/>
    <x v="0"/>
    <n v="1"/>
    <n v="0.6"/>
    <x v="0"/>
    <x v="1"/>
    <x v="37"/>
    <x v="2"/>
    <x v="2"/>
    <x v="2"/>
    <x v="2"/>
    <x v="1"/>
    <x v="2"/>
    <x v="0"/>
  </r>
  <r>
    <x v="284"/>
    <x v="27"/>
    <x v="5"/>
    <x v="5"/>
    <x v="0"/>
    <x v="3"/>
    <x v="1"/>
    <x v="0"/>
    <s v="Human Body"/>
    <x v="3"/>
    <n v="2"/>
    <n v="1.8"/>
    <x v="0"/>
    <x v="1"/>
    <x v="21"/>
    <x v="0"/>
    <x v="0"/>
    <x v="1"/>
    <x v="1"/>
    <x v="1"/>
    <x v="1"/>
    <x v="3"/>
  </r>
  <r>
    <x v="285"/>
    <x v="28"/>
    <x v="9"/>
    <x v="9"/>
    <x v="0"/>
    <x v="1"/>
    <x v="1"/>
    <x v="0"/>
    <s v="Human Body"/>
    <x v="0"/>
    <n v="1"/>
    <n v="0.9"/>
    <x v="0"/>
    <x v="1"/>
    <x v="19"/>
    <x v="1"/>
    <x v="1"/>
    <x v="0"/>
    <x v="3"/>
    <x v="2"/>
    <x v="0"/>
    <x v="3"/>
  </r>
  <r>
    <x v="286"/>
    <x v="22"/>
    <x v="9"/>
    <x v="9"/>
    <x v="0"/>
    <x v="1"/>
    <x v="1"/>
    <x v="0"/>
    <s v="Human Body"/>
    <x v="2"/>
    <n v="1"/>
    <n v="0.8"/>
    <x v="0"/>
    <x v="1"/>
    <x v="2"/>
    <x v="2"/>
    <x v="2"/>
    <x v="0"/>
    <x v="1"/>
    <x v="4"/>
    <x v="2"/>
    <x v="1"/>
  </r>
  <r>
    <x v="287"/>
    <x v="11"/>
    <x v="0"/>
    <x v="0"/>
    <x v="0"/>
    <x v="0"/>
    <x v="0"/>
    <x v="0"/>
    <s v="Human Body"/>
    <x v="2"/>
    <n v="3"/>
    <n v="1.9"/>
    <x v="0"/>
    <x v="1"/>
    <x v="10"/>
    <x v="2"/>
    <x v="2"/>
    <x v="2"/>
    <x v="5"/>
    <x v="2"/>
    <x v="2"/>
    <x v="1"/>
  </r>
  <r>
    <x v="288"/>
    <x v="11"/>
    <x v="7"/>
    <x v="7"/>
    <x v="1"/>
    <x v="1"/>
    <x v="0"/>
    <x v="0"/>
    <s v="Human Body"/>
    <x v="2"/>
    <n v="2"/>
    <n v="1.6"/>
    <x v="0"/>
    <x v="1"/>
    <x v="21"/>
    <x v="1"/>
    <x v="1"/>
    <x v="2"/>
    <x v="1"/>
    <x v="1"/>
    <x v="1"/>
    <x v="1"/>
  </r>
  <r>
    <x v="289"/>
    <x v="13"/>
    <x v="4"/>
    <x v="4"/>
    <x v="0"/>
    <x v="0"/>
    <x v="0"/>
    <x v="0"/>
    <s v="Human Body"/>
    <x v="0"/>
    <n v="2"/>
    <n v="1.2"/>
    <x v="0"/>
    <x v="1"/>
    <x v="30"/>
    <x v="2"/>
    <x v="2"/>
    <x v="0"/>
    <x v="4"/>
    <x v="4"/>
    <x v="2"/>
    <x v="4"/>
  </r>
  <r>
    <x v="290"/>
    <x v="12"/>
    <x v="3"/>
    <x v="3"/>
    <x v="1"/>
    <x v="2"/>
    <x v="0"/>
    <x v="0"/>
    <s v="Human Body"/>
    <x v="2"/>
    <n v="4"/>
    <n v="3.6"/>
    <x v="0"/>
    <x v="1"/>
    <x v="34"/>
    <x v="0"/>
    <x v="0"/>
    <x v="0"/>
    <x v="2"/>
    <x v="0"/>
    <x v="1"/>
    <x v="3"/>
  </r>
  <r>
    <x v="291"/>
    <x v="16"/>
    <x v="7"/>
    <x v="7"/>
    <x v="1"/>
    <x v="1"/>
    <x v="0"/>
    <x v="0"/>
    <s v="Human Body"/>
    <x v="1"/>
    <n v="3"/>
    <n v="3"/>
    <x v="0"/>
    <x v="1"/>
    <x v="1"/>
    <x v="1"/>
    <x v="1"/>
    <x v="1"/>
    <x v="5"/>
    <x v="2"/>
    <x v="0"/>
    <x v="0"/>
  </r>
  <r>
    <x v="292"/>
    <x v="29"/>
    <x v="7"/>
    <x v="7"/>
    <x v="1"/>
    <x v="1"/>
    <x v="0"/>
    <x v="0"/>
    <s v="Human Body"/>
    <x v="2"/>
    <n v="1"/>
    <n v="0.8"/>
    <x v="0"/>
    <x v="1"/>
    <x v="15"/>
    <x v="0"/>
    <x v="0"/>
    <x v="1"/>
    <x v="1"/>
    <x v="5"/>
    <x v="1"/>
    <x v="2"/>
  </r>
  <r>
    <x v="293"/>
    <x v="29"/>
    <x v="8"/>
    <x v="8"/>
    <x v="1"/>
    <x v="4"/>
    <x v="1"/>
    <x v="0"/>
    <s v="Human Body"/>
    <x v="2"/>
    <n v="3"/>
    <n v="1.8"/>
    <x v="0"/>
    <x v="1"/>
    <x v="41"/>
    <x v="1"/>
    <x v="1"/>
    <x v="0"/>
    <x v="5"/>
    <x v="5"/>
    <x v="2"/>
    <x v="2"/>
  </r>
  <r>
    <x v="294"/>
    <x v="14"/>
    <x v="14"/>
    <x v="14"/>
    <x v="1"/>
    <x v="0"/>
    <x v="0"/>
    <x v="0"/>
    <s v="Human Body"/>
    <x v="0"/>
    <n v="4"/>
    <n v="3.1"/>
    <x v="0"/>
    <x v="1"/>
    <x v="21"/>
    <x v="1"/>
    <x v="1"/>
    <x v="1"/>
    <x v="1"/>
    <x v="0"/>
    <x v="1"/>
    <x v="4"/>
  </r>
  <r>
    <x v="295"/>
    <x v="12"/>
    <x v="0"/>
    <x v="0"/>
    <x v="0"/>
    <x v="0"/>
    <x v="0"/>
    <x v="0"/>
    <s v="Human Body"/>
    <x v="1"/>
    <n v="2"/>
    <n v="1.7"/>
    <x v="0"/>
    <x v="1"/>
    <x v="1"/>
    <x v="2"/>
    <x v="2"/>
    <x v="2"/>
    <x v="3"/>
    <x v="5"/>
    <x v="2"/>
    <x v="3"/>
  </r>
  <r>
    <x v="296"/>
    <x v="6"/>
    <x v="4"/>
    <x v="4"/>
    <x v="0"/>
    <x v="0"/>
    <x v="0"/>
    <x v="0"/>
    <s v="Human Body"/>
    <x v="0"/>
    <n v="4"/>
    <n v="3.2"/>
    <x v="0"/>
    <x v="1"/>
    <x v="29"/>
    <x v="2"/>
    <x v="2"/>
    <x v="1"/>
    <x v="4"/>
    <x v="5"/>
    <x v="2"/>
    <x v="1"/>
  </r>
  <r>
    <x v="297"/>
    <x v="22"/>
    <x v="7"/>
    <x v="7"/>
    <x v="1"/>
    <x v="1"/>
    <x v="0"/>
    <x v="0"/>
    <s v="Human Body"/>
    <x v="1"/>
    <n v="3"/>
    <n v="2.7"/>
    <x v="0"/>
    <x v="1"/>
    <x v="22"/>
    <x v="2"/>
    <x v="2"/>
    <x v="0"/>
    <x v="3"/>
    <x v="2"/>
    <x v="2"/>
    <x v="1"/>
  </r>
  <r>
    <x v="298"/>
    <x v="28"/>
    <x v="11"/>
    <x v="11"/>
    <x v="1"/>
    <x v="1"/>
    <x v="0"/>
    <x v="0"/>
    <s v="Human Body"/>
    <x v="0"/>
    <n v="1"/>
    <n v="0.9"/>
    <x v="0"/>
    <x v="1"/>
    <x v="19"/>
    <x v="2"/>
    <x v="2"/>
    <x v="1"/>
    <x v="3"/>
    <x v="0"/>
    <x v="2"/>
    <x v="3"/>
  </r>
  <r>
    <x v="299"/>
    <x v="24"/>
    <x v="7"/>
    <x v="7"/>
    <x v="1"/>
    <x v="1"/>
    <x v="0"/>
    <x v="0"/>
    <s v="Human Body"/>
    <x v="2"/>
    <n v="1"/>
    <n v="0.8"/>
    <x v="0"/>
    <x v="1"/>
    <x v="21"/>
    <x v="0"/>
    <x v="0"/>
    <x v="0"/>
    <x v="4"/>
    <x v="0"/>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CCF1F13-8274-4C0B-9FF4-33F4BD3B0F09}" name="PivotTable11"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92:J135" firstHeaderRow="1" firstDataRow="1" firstDataCol="1"/>
  <pivotFields count="22">
    <pivotField showAll="0"/>
    <pivotField numFmtId="164" showAll="0"/>
    <pivotField showAll="0"/>
    <pivotField showAll="0">
      <items count="16">
        <item x="12"/>
        <item h="1" x="7"/>
        <item h="1" x="9"/>
        <item h="1" x="6"/>
        <item h="1" x="11"/>
        <item h="1" x="10"/>
        <item h="1" x="0"/>
        <item h="1" x="1"/>
        <item h="1" x="3"/>
        <item h="1" x="14"/>
        <item h="1" x="4"/>
        <item h="1" x="13"/>
        <item h="1" x="5"/>
        <item h="1" x="8"/>
        <item h="1" x="2"/>
        <item t="default"/>
      </items>
    </pivotField>
    <pivotField showAll="0"/>
    <pivotField showAll="0"/>
    <pivotField showAll="0"/>
    <pivotField showAll="0"/>
    <pivotField showAll="0"/>
    <pivotField showAll="0"/>
    <pivotField showAll="0"/>
    <pivotField dataField="1" showAll="0"/>
    <pivotField showAll="0"/>
    <pivotField showAll="0"/>
    <pivotField axis="axisRow" showAll="0">
      <items count="43">
        <item x="35"/>
        <item x="7"/>
        <item x="6"/>
        <item x="41"/>
        <item x="18"/>
        <item x="23"/>
        <item x="40"/>
        <item x="24"/>
        <item x="16"/>
        <item x="31"/>
        <item x="33"/>
        <item x="12"/>
        <item x="37"/>
        <item x="25"/>
        <item x="4"/>
        <item x="30"/>
        <item x="28"/>
        <item x="10"/>
        <item x="15"/>
        <item x="21"/>
        <item x="2"/>
        <item x="22"/>
        <item x="3"/>
        <item x="29"/>
        <item x="8"/>
        <item x="5"/>
        <item x="20"/>
        <item x="19"/>
        <item x="1"/>
        <item x="14"/>
        <item x="0"/>
        <item x="13"/>
        <item x="11"/>
        <item x="17"/>
        <item x="27"/>
        <item x="9"/>
        <item x="34"/>
        <item x="32"/>
        <item x="38"/>
        <item x="26"/>
        <item x="36"/>
        <item x="39"/>
        <item t="default"/>
      </items>
    </pivotField>
    <pivotField showAll="0"/>
    <pivotField numFmtId="9" showAll="0"/>
    <pivotField showAll="0"/>
    <pivotField showAll="0"/>
    <pivotField showAll="0"/>
    <pivotField showAll="0"/>
    <pivotField showAll="0"/>
  </pivotFields>
  <rowFields count="1">
    <field x="14"/>
  </rowFields>
  <rowItems count="4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t="grand">
      <x/>
    </i>
  </rowItems>
  <colItems count="1">
    <i/>
  </colItems>
  <dataFields count="1">
    <dataField name="Average of Actual_Study_Hours" fld="11" subtotal="average" baseField="0" baseItem="0" numFmtId="2"/>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2D1290-A740-4D14-916B-0C0DDDC2C4B0}" name="PivotTable10"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77:J79" firstHeaderRow="1" firstDataRow="1" firstDataCol="1"/>
  <pivotFields count="22">
    <pivotField showAll="0"/>
    <pivotField numFmtId="164" showAll="0"/>
    <pivotField showAll="0"/>
    <pivotField showAll="0">
      <items count="16">
        <item x="12"/>
        <item h="1" x="7"/>
        <item h="1" x="9"/>
        <item h="1" x="6"/>
        <item h="1" x="11"/>
        <item h="1" x="10"/>
        <item h="1" x="0"/>
        <item h="1" x="1"/>
        <item h="1" x="3"/>
        <item h="1" x="14"/>
        <item h="1" x="4"/>
        <item h="1" x="13"/>
        <item h="1" x="5"/>
        <item h="1" x="8"/>
        <item h="1" x="2"/>
        <item t="default"/>
      </items>
    </pivotField>
    <pivotField showAll="0"/>
    <pivotField showAll="0"/>
    <pivotField showAll="0"/>
    <pivotField showAll="0"/>
    <pivotField showAll="0"/>
    <pivotField showAll="0"/>
    <pivotField showAll="0"/>
    <pivotField showAll="0"/>
    <pivotField axis="axisRow" showAll="0">
      <items count="2">
        <item x="0"/>
        <item t="default"/>
      </items>
    </pivotField>
    <pivotField showAll="0"/>
    <pivotField dataField="1" showAll="0"/>
    <pivotField showAll="0"/>
    <pivotField numFmtId="9" showAll="0"/>
    <pivotField showAll="0"/>
    <pivotField showAll="0"/>
    <pivotField showAll="0"/>
    <pivotField showAll="0"/>
    <pivotField showAll="0"/>
  </pivotFields>
  <rowFields count="1">
    <field x="12"/>
  </rowFields>
  <rowItems count="2">
    <i>
      <x/>
    </i>
    <i t="grand">
      <x/>
    </i>
  </rowItems>
  <colItems count="1">
    <i/>
  </colItems>
  <dataFields count="1">
    <dataField name="Average of Test_Score" fld="14"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C5112AA-75FE-4430-BC96-46467094F336}" name="PivotTable8"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77:C83" firstHeaderRow="0" firstDataRow="1" firstDataCol="1"/>
  <pivotFields count="22">
    <pivotField showAll="0"/>
    <pivotField numFmtId="164" showAll="0"/>
    <pivotField showAll="0"/>
    <pivotField showAll="0">
      <items count="16">
        <item x="12"/>
        <item h="1" x="7"/>
        <item h="1" x="9"/>
        <item h="1" x="6"/>
        <item h="1" x="11"/>
        <item h="1" x="10"/>
        <item h="1" x="0"/>
        <item h="1" x="1"/>
        <item h="1" x="3"/>
        <item h="1" x="14"/>
        <item h="1" x="4"/>
        <item h="1" x="13"/>
        <item h="1" x="5"/>
        <item h="1" x="8"/>
        <item h="1" x="2"/>
        <item t="default"/>
      </items>
    </pivotField>
    <pivotField showAll="0"/>
    <pivotField axis="axisRow" showAll="0">
      <items count="6">
        <item x="4"/>
        <item x="3"/>
        <item x="0"/>
        <item x="1"/>
        <item x="2"/>
        <item t="default"/>
      </items>
    </pivotField>
    <pivotField showAll="0">
      <items count="3">
        <item x="0"/>
        <item x="1"/>
        <item t="default"/>
      </items>
    </pivotField>
    <pivotField showAll="0"/>
    <pivotField showAll="0"/>
    <pivotField showAll="0"/>
    <pivotField showAll="0"/>
    <pivotField dataField="1" showAll="0"/>
    <pivotField showAll="0"/>
    <pivotField showAll="0"/>
    <pivotField dataField="1" showAll="0"/>
    <pivotField showAll="0"/>
    <pivotField numFmtId="9" showAll="0"/>
    <pivotField showAll="0"/>
    <pivotField showAll="0"/>
    <pivotField showAll="0"/>
    <pivotField showAll="0"/>
    <pivotField showAll="0"/>
  </pivotFields>
  <rowFields count="1">
    <field x="5"/>
  </rowFields>
  <rowItems count="6">
    <i>
      <x/>
    </i>
    <i>
      <x v="1"/>
    </i>
    <i>
      <x v="2"/>
    </i>
    <i>
      <x v="3"/>
    </i>
    <i>
      <x v="4"/>
    </i>
    <i t="grand">
      <x/>
    </i>
  </rowItems>
  <colFields count="1">
    <field x="-2"/>
  </colFields>
  <colItems count="2">
    <i>
      <x/>
    </i>
    <i i="1">
      <x v="1"/>
    </i>
  </colItems>
  <dataFields count="2">
    <dataField name="Average of Test_Score" fld="14" subtotal="average" baseField="0" baseItem="0" numFmtId="2"/>
    <dataField name="Average of Actual_Study_Hours" fld="11" subtotal="average" baseField="0" baseItem="0" numFmtId="2"/>
  </dataFields>
  <formats count="2">
    <format dxfId="12">
      <pivotArea outline="0" collapsedLevelsAreSubtotals="1" fieldPosition="0">
        <references count="1">
          <reference field="4294967294" count="1" selected="0">
            <x v="1"/>
          </reference>
        </references>
      </pivotArea>
    </format>
    <format dxfId="11">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8F0513B-F11D-49B1-9B54-36E0D4A12979}" name="PivotTable4"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47:D49" firstHeaderRow="0" firstDataRow="1" firstDataCol="1"/>
  <pivotFields count="22">
    <pivotField showAll="0"/>
    <pivotField numFmtId="164" showAll="0"/>
    <pivotField showAll="0"/>
    <pivotField showAll="0">
      <items count="16">
        <item x="12"/>
        <item h="1" x="7"/>
        <item h="1" x="9"/>
        <item h="1" x="6"/>
        <item h="1" x="11"/>
        <item h="1" x="10"/>
        <item h="1" x="0"/>
        <item h="1" x="1"/>
        <item h="1" x="3"/>
        <item h="1" x="14"/>
        <item h="1" x="4"/>
        <item h="1" x="13"/>
        <item h="1" x="5"/>
        <item h="1" x="8"/>
        <item h="1" x="2"/>
        <item t="default"/>
      </items>
    </pivotField>
    <pivotField showAll="0"/>
    <pivotField showAll="0"/>
    <pivotField showAll="0"/>
    <pivotField showAll="0"/>
    <pivotField showAll="0"/>
    <pivotField showAll="0"/>
    <pivotField dataField="1" showAll="0"/>
    <pivotField dataField="1" showAll="0"/>
    <pivotField showAll="0"/>
    <pivotField showAll="0"/>
    <pivotField dataField="1" showAll="0"/>
    <pivotField showAll="0"/>
    <pivotField numFmtId="9" showAll="0"/>
    <pivotField showAll="0"/>
    <pivotField showAll="0"/>
    <pivotField showAll="0"/>
    <pivotField showAll="0"/>
    <pivotField axis="axisRow" showAll="0">
      <items count="6">
        <item x="4"/>
        <item h="1" x="2"/>
        <item h="1" x="1"/>
        <item h="1" x="0"/>
        <item h="1" x="3"/>
        <item t="default"/>
      </items>
    </pivotField>
  </pivotFields>
  <rowFields count="1">
    <field x="21"/>
  </rowFields>
  <rowItems count="2">
    <i>
      <x/>
    </i>
    <i t="grand">
      <x/>
    </i>
  </rowItems>
  <colFields count="1">
    <field x="-2"/>
  </colFields>
  <colItems count="3">
    <i>
      <x/>
    </i>
    <i i="1">
      <x v="1"/>
    </i>
    <i i="2">
      <x v="2"/>
    </i>
  </colItems>
  <dataFields count="3">
    <dataField name="Sum of Planned_Hours" fld="10" baseField="0" baseItem="0"/>
    <dataField name="Sum of Actual_Study_Hours" fld="11" baseField="0" baseItem="0"/>
    <dataField name="Average of Test_Score" fld="14" subtotal="average" baseField="0" baseItem="0" numFmtId="2"/>
  </dataFields>
  <formats count="1">
    <format dxfId="13">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5FF483C-E00B-45A8-8F96-5119C47EBCEC}" name="PivotTable6"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62:E67" firstHeaderRow="1" firstDataRow="1" firstDataCol="1"/>
  <pivotFields count="22">
    <pivotField showAll="0"/>
    <pivotField numFmtId="164" showAll="0"/>
    <pivotField showAll="0"/>
    <pivotField showAll="0">
      <items count="16">
        <item x="12"/>
        <item h="1" x="7"/>
        <item h="1" x="9"/>
        <item h="1" x="6"/>
        <item h="1" x="11"/>
        <item h="1" x="10"/>
        <item h="1" x="0"/>
        <item h="1" x="1"/>
        <item h="1" x="3"/>
        <item h="1" x="14"/>
        <item h="1" x="4"/>
        <item h="1" x="13"/>
        <item h="1" x="5"/>
        <item h="1" x="8"/>
        <item h="1" x="2"/>
        <item t="default"/>
      </items>
    </pivotField>
    <pivotField showAll="0"/>
    <pivotField showAll="0"/>
    <pivotField showAll="0"/>
    <pivotField showAll="0"/>
    <pivotField showAll="0"/>
    <pivotField axis="axisRow" showAll="0">
      <items count="5">
        <item x="1"/>
        <item x="0"/>
        <item x="3"/>
        <item x="2"/>
        <item t="default"/>
      </items>
    </pivotField>
    <pivotField showAll="0"/>
    <pivotField dataField="1" showAll="0"/>
    <pivotField showAll="0"/>
    <pivotField showAll="0"/>
    <pivotField showAll="0"/>
    <pivotField showAll="0"/>
    <pivotField numFmtId="9" showAll="0"/>
    <pivotField showAll="0"/>
    <pivotField showAll="0"/>
    <pivotField showAll="0"/>
    <pivotField showAll="0"/>
    <pivotField showAll="0"/>
  </pivotFields>
  <rowFields count="1">
    <field x="9"/>
  </rowFields>
  <rowItems count="5">
    <i>
      <x/>
    </i>
    <i>
      <x v="1"/>
    </i>
    <i>
      <x v="2"/>
    </i>
    <i>
      <x v="3"/>
    </i>
    <i t="grand">
      <x/>
    </i>
  </rowItems>
  <colItems count="1">
    <i/>
  </colItems>
  <dataFields count="1">
    <dataField name="Average of Actual_Study_Hours" fld="11" subtotal="average" baseField="0" baseItem="0" numFmtId="2"/>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A4BF1F1-04D0-47E1-B50F-FA13211DF25F}" name="PivotTable7"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62:H69" firstHeaderRow="1" firstDataRow="1" firstDataCol="1"/>
  <pivotFields count="22">
    <pivotField showAll="0"/>
    <pivotField numFmtId="164" showAll="0"/>
    <pivotField showAll="0"/>
    <pivotField showAll="0">
      <items count="16">
        <item x="12"/>
        <item h="1" x="7"/>
        <item h="1" x="9"/>
        <item h="1" x="6"/>
        <item h="1" x="11"/>
        <item h="1" x="10"/>
        <item h="1" x="0"/>
        <item h="1" x="1"/>
        <item h="1" x="3"/>
        <item h="1" x="14"/>
        <item h="1" x="4"/>
        <item h="1" x="13"/>
        <item h="1" x="5"/>
        <item h="1" x="8"/>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numFmtId="9" showAll="0"/>
    <pivotField showAll="0"/>
    <pivotField axis="axisRow" showAll="0">
      <items count="7">
        <item x="4"/>
        <item x="5"/>
        <item x="2"/>
        <item x="0"/>
        <item x="3"/>
        <item x="1"/>
        <item t="default"/>
      </items>
    </pivotField>
    <pivotField showAll="0"/>
    <pivotField showAll="0"/>
    <pivotField showAll="0"/>
  </pivotFields>
  <rowFields count="1">
    <field x="18"/>
  </rowFields>
  <rowItems count="7">
    <i>
      <x/>
    </i>
    <i>
      <x v="1"/>
    </i>
    <i>
      <x v="2"/>
    </i>
    <i>
      <x v="3"/>
    </i>
    <i>
      <x v="4"/>
    </i>
    <i>
      <x v="5"/>
    </i>
    <i t="grand">
      <x/>
    </i>
  </rowItems>
  <colItems count="1">
    <i/>
  </colItems>
  <dataFields count="1">
    <dataField name="Average of Attendance_Percentage" fld="16" subtotal="average" baseField="0" baseItem="0" numFmtId="9"/>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32CC4BB-1740-4F35-A743-3F253344BDFF}" name="PivotTable9"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77:G84" firstHeaderRow="0" firstDataRow="1" firstDataCol="1"/>
  <pivotFields count="22">
    <pivotField showAll="0"/>
    <pivotField numFmtId="164" showAll="0"/>
    <pivotField showAll="0"/>
    <pivotField showAll="0">
      <items count="16">
        <item x="12"/>
        <item h="1" x="7"/>
        <item h="1" x="9"/>
        <item h="1" x="6"/>
        <item h="1" x="11"/>
        <item h="1" x="10"/>
        <item h="1" x="0"/>
        <item h="1" x="1"/>
        <item h="1" x="3"/>
        <item h="1" x="14"/>
        <item h="1" x="4"/>
        <item h="1" x="13"/>
        <item h="1" x="5"/>
        <item h="1" x="8"/>
        <item h="1" x="2"/>
        <item t="default"/>
      </items>
    </pivotField>
    <pivotField showAll="0"/>
    <pivotField showAll="0"/>
    <pivotField showAll="0"/>
    <pivotField showAll="0"/>
    <pivotField showAll="0"/>
    <pivotField showAll="0"/>
    <pivotField showAll="0"/>
    <pivotField dataField="1" showAll="0"/>
    <pivotField showAll="0"/>
    <pivotField showAll="0"/>
    <pivotField dataField="1" showAll="0"/>
    <pivotField showAll="0"/>
    <pivotField numFmtId="9" showAll="0"/>
    <pivotField showAll="0"/>
    <pivotField showAll="0"/>
    <pivotField axis="axisRow" showAll="0">
      <items count="7">
        <item x="0"/>
        <item x="4"/>
        <item x="3"/>
        <item x="1"/>
        <item x="2"/>
        <item x="5"/>
        <item t="default"/>
      </items>
    </pivotField>
    <pivotField showAll="0"/>
    <pivotField showAll="0"/>
  </pivotFields>
  <rowFields count="1">
    <field x="19"/>
  </rowFields>
  <rowItems count="7">
    <i>
      <x/>
    </i>
    <i>
      <x v="1"/>
    </i>
    <i>
      <x v="2"/>
    </i>
    <i>
      <x v="3"/>
    </i>
    <i>
      <x v="4"/>
    </i>
    <i>
      <x v="5"/>
    </i>
    <i t="grand">
      <x/>
    </i>
  </rowItems>
  <colFields count="1">
    <field x="-2"/>
  </colFields>
  <colItems count="2">
    <i>
      <x/>
    </i>
    <i i="1">
      <x v="1"/>
    </i>
  </colItems>
  <dataFields count="2">
    <dataField name="Average of Test_Score" fld="14" subtotal="average" baseField="0" baseItem="0" numFmtId="2"/>
    <dataField name="Average of Actual_Study_Hours" fld="11" subtotal="average" baseField="0" baseItem="0" numFmtId="2"/>
  </dataFields>
  <formats count="2">
    <format dxfId="17">
      <pivotArea outline="0" collapsedLevelsAreSubtotals="1" fieldPosition="0">
        <references count="1">
          <reference field="4294967294" count="1" selected="0">
            <x v="1"/>
          </reference>
        </references>
      </pivotArea>
    </format>
    <format dxfId="16">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00B6B05-5F11-476A-877E-24A250291F18}" name="PivotTable3"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27:D29" firstHeaderRow="0" firstDataRow="1" firstDataCol="1"/>
  <pivotFields count="22">
    <pivotField showAll="0"/>
    <pivotField numFmtId="164" showAll="0"/>
    <pivotField showAll="0"/>
    <pivotField axis="axisRow" showAll="0">
      <items count="16">
        <item h="1" x="12"/>
        <item h="1" x="7"/>
        <item h="1" x="9"/>
        <item h="1" x="6"/>
        <item x="11"/>
        <item h="1" x="10"/>
        <item h="1" x="0"/>
        <item h="1" x="1"/>
        <item h="1" x="3"/>
        <item h="1" x="14"/>
        <item h="1" x="4"/>
        <item h="1" x="13"/>
        <item h="1" x="5"/>
        <item h="1" x="8"/>
        <item h="1" x="2"/>
        <item t="default"/>
      </items>
    </pivotField>
    <pivotField showAll="0"/>
    <pivotField showAll="0"/>
    <pivotField showAll="0"/>
    <pivotField showAll="0">
      <items count="7">
        <item h="1" x="4"/>
        <item x="0"/>
        <item h="1" x="3"/>
        <item h="1" x="2"/>
        <item h="1" x="1"/>
        <item h="1" x="5"/>
        <item t="default"/>
      </items>
    </pivotField>
    <pivotField showAll="0"/>
    <pivotField showAll="0"/>
    <pivotField showAll="0"/>
    <pivotField dataField="1" showAll="0"/>
    <pivotField showAll="0"/>
    <pivotField showAll="0"/>
    <pivotField dataField="1" showAll="0"/>
    <pivotField showAll="0"/>
    <pivotField dataField="1" numFmtId="9" showAll="0"/>
    <pivotField showAll="0"/>
    <pivotField showAll="0"/>
    <pivotField showAll="0"/>
    <pivotField showAll="0"/>
    <pivotField showAll="0"/>
  </pivotFields>
  <rowFields count="1">
    <field x="3"/>
  </rowFields>
  <rowItems count="2">
    <i>
      <x v="4"/>
    </i>
    <i t="grand">
      <x/>
    </i>
  </rowItems>
  <colFields count="1">
    <field x="-2"/>
  </colFields>
  <colItems count="3">
    <i>
      <x/>
    </i>
    <i i="1">
      <x v="1"/>
    </i>
    <i i="2">
      <x v="2"/>
    </i>
  </colItems>
  <dataFields count="3">
    <dataField name="Sum of Actual_Study_Hours" fld="11" baseField="0" baseItem="0" numFmtId="2"/>
    <dataField name="Average of Test_Score" fld="14" subtotal="average" baseField="0" baseItem="0"/>
    <dataField name="Average of Attendance_Percentage" fld="16" subtotal="average" baseField="0" baseItem="0" numFmtId="9"/>
  </dataFields>
  <formats count="4">
    <format dxfId="21">
      <pivotArea outline="0" collapsedLevelsAreSubtotals="1" fieldPosition="0">
        <references count="1">
          <reference field="4294967294" count="1" selected="0">
            <x v="0"/>
          </reference>
        </references>
      </pivotArea>
    </format>
    <format dxfId="20">
      <pivotArea collapsedLevelsAreSubtotals="1" fieldPosition="0">
        <references count="2">
          <reference field="4294967294" count="1" selected="0">
            <x v="1"/>
          </reference>
          <reference field="3" count="0"/>
        </references>
      </pivotArea>
    </format>
    <format dxfId="19">
      <pivotArea outline="0" collapsedLevelsAreSubtotals="1" fieldPosition="0">
        <references count="1">
          <reference field="4294967294" count="1" selected="0">
            <x v="2"/>
          </reference>
        </references>
      </pivotArea>
    </format>
    <format dxfId="18">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513F1D9-E4FD-4F49-A410-BD31715B22A6}" name="PivotTable5"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62:B66" firstHeaderRow="1" firstDataRow="1" firstDataCol="1"/>
  <pivotFields count="22">
    <pivotField showAll="0"/>
    <pivotField numFmtId="164" showAll="0"/>
    <pivotField dataField="1" showAll="0"/>
    <pivotField showAll="0">
      <items count="16">
        <item x="12"/>
        <item h="1" x="7"/>
        <item h="1" x="9"/>
        <item h="1" x="6"/>
        <item h="1" x="11"/>
        <item h="1" x="10"/>
        <item h="1" x="0"/>
        <item h="1" x="1"/>
        <item h="1" x="3"/>
        <item h="1" x="14"/>
        <item h="1" x="4"/>
        <item h="1" x="13"/>
        <item h="1" x="5"/>
        <item h="1" x="8"/>
        <item h="1" x="2"/>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4">
        <item x="2"/>
        <item x="0"/>
        <item x="1"/>
        <item t="default"/>
      </items>
    </pivotField>
    <pivotField numFmtId="9" showAll="0"/>
    <pivotField showAll="0"/>
    <pivotField showAll="0"/>
    <pivotField showAll="0"/>
    <pivotField showAll="0"/>
    <pivotField showAll="0"/>
  </pivotFields>
  <rowFields count="1">
    <field x="15"/>
  </rowFields>
  <rowItems count="4">
    <i>
      <x/>
    </i>
    <i>
      <x v="1"/>
    </i>
    <i>
      <x v="2"/>
    </i>
    <i t="grand">
      <x/>
    </i>
  </rowItems>
  <colItems count="1">
    <i/>
  </colItems>
  <dataFields count="1">
    <dataField name="Count of Student_ID"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9BF8F1B-FB0B-4417-9FEA-A06A3FCB51A2}" name="PivotTable2"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15:D17" firstHeaderRow="0" firstDataRow="1" firstDataCol="1"/>
  <pivotFields count="22">
    <pivotField showAll="0"/>
    <pivotField numFmtId="164" showAll="0">
      <items count="31">
        <item x="13"/>
        <item x="14"/>
        <item x="17"/>
        <item x="10"/>
        <item x="29"/>
        <item x="5"/>
        <item x="23"/>
        <item x="4"/>
        <item x="20"/>
        <item x="1"/>
        <item x="3"/>
        <item x="24"/>
        <item x="11"/>
        <item x="6"/>
        <item x="26"/>
        <item x="22"/>
        <item x="2"/>
        <item x="15"/>
        <item x="0"/>
        <item x="21"/>
        <item x="25"/>
        <item x="19"/>
        <item x="16"/>
        <item x="12"/>
        <item x="18"/>
        <item x="9"/>
        <item x="28"/>
        <item x="27"/>
        <item x="8"/>
        <item x="7"/>
        <item t="default"/>
      </items>
    </pivotField>
    <pivotField showAll="0"/>
    <pivotField showAll="0">
      <items count="16">
        <item x="12"/>
        <item h="1" x="7"/>
        <item h="1" x="9"/>
        <item h="1" x="6"/>
        <item h="1" x="11"/>
        <item h="1" x="10"/>
        <item h="1" x="0"/>
        <item h="1" x="1"/>
        <item h="1" x="3"/>
        <item h="1" x="14"/>
        <item h="1" x="4"/>
        <item h="1" x="13"/>
        <item h="1" x="5"/>
        <item h="1" x="8"/>
        <item h="1" x="2"/>
        <item t="default"/>
      </items>
    </pivotField>
    <pivotField showAll="0">
      <items count="3">
        <item x="1"/>
        <item x="0"/>
        <item t="default"/>
      </items>
    </pivotField>
    <pivotField showAll="0"/>
    <pivotField showAll="0"/>
    <pivotField axis="axisRow" showAll="0">
      <items count="7">
        <item x="4"/>
        <item h="1" x="0"/>
        <item h="1" x="3"/>
        <item h="1" x="2"/>
        <item h="1" x="1"/>
        <item h="1" x="5"/>
        <item t="default"/>
      </items>
    </pivotField>
    <pivotField showAll="0"/>
    <pivotField showAll="0"/>
    <pivotField showAll="0"/>
    <pivotField dataField="1" showAll="0"/>
    <pivotField showAll="0"/>
    <pivotField showAll="0"/>
    <pivotField dataField="1" showAll="0"/>
    <pivotField showAll="0"/>
    <pivotField dataField="1" numFmtId="9" showAll="0"/>
    <pivotField showAll="0"/>
    <pivotField showAll="0"/>
    <pivotField showAll="0"/>
    <pivotField showAll="0"/>
    <pivotField showAll="0"/>
  </pivotFields>
  <rowFields count="1">
    <field x="7"/>
  </rowFields>
  <rowItems count="2">
    <i>
      <x/>
    </i>
    <i t="grand">
      <x/>
    </i>
  </rowItems>
  <colFields count="1">
    <field x="-2"/>
  </colFields>
  <colItems count="3">
    <i>
      <x/>
    </i>
    <i i="1">
      <x v="1"/>
    </i>
    <i i="2">
      <x v="2"/>
    </i>
  </colItems>
  <dataFields count="3">
    <dataField name="Sum of Actual_Study_Hours" fld="11" baseField="0" baseItem="0" numFmtId="2"/>
    <dataField name="Average of Test_Score" fld="14" subtotal="average" baseField="0" baseItem="0"/>
    <dataField name="Average of Attendance_Percentage" fld="16" subtotal="average" baseField="0" baseItem="0"/>
  </dataFields>
  <formats count="4">
    <format dxfId="25">
      <pivotArea collapsedLevelsAreSubtotals="1" fieldPosition="0">
        <references count="2">
          <reference field="4294967294" count="1" selected="0">
            <x v="2"/>
          </reference>
          <reference field="7" count="0"/>
        </references>
      </pivotArea>
    </format>
    <format dxfId="24">
      <pivotArea collapsedLevelsAreSubtotals="1" fieldPosition="0">
        <references count="2">
          <reference field="4294967294" count="1" selected="0">
            <x v="1"/>
          </reference>
          <reference field="7" count="0"/>
        </references>
      </pivotArea>
    </format>
    <format dxfId="23">
      <pivotArea field="7" grandRow="1" outline="0" collapsedLevelsAreSubtotals="1" axis="axisRow" fieldPosition="0">
        <references count="1">
          <reference field="4294967294" count="1" selected="0">
            <x v="2"/>
          </reference>
        </references>
      </pivotArea>
    </format>
    <format dxfId="22">
      <pivotArea outline="0" collapsedLevelsAreSubtotals="1" fieldPosition="0">
        <references count="1">
          <reference field="4294967294" count="1" selected="0">
            <x v="0"/>
          </reference>
        </references>
      </pivotArea>
    </format>
  </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udent_Name" xr10:uid="{3FC57F53-E156-4BD1-8EAA-815CFB2774C8}" sourceName="Student_Name">
  <pivotTables>
    <pivotTable tabId="5" name="PivotTable3"/>
  </pivotTables>
  <data>
    <tabular pivotCacheId="301103093">
      <items count="15">
        <i x="12"/>
        <i x="7"/>
        <i x="9"/>
        <i x="6"/>
        <i x="11" s="1"/>
        <i x="10"/>
        <i x="0"/>
        <i x="1"/>
        <i x="3"/>
        <i x="14"/>
        <i x="4"/>
        <i x="13"/>
        <i x="5"/>
        <i x="8"/>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ject" xr10:uid="{D65AF15D-806B-45EB-859F-C46CC5BBCBFD}" sourceName="Subject">
  <pivotTables>
    <pivotTable tabId="5" name="PivotTable2"/>
  </pivotTables>
  <data>
    <tabular pivotCacheId="301103093">
      <items count="6">
        <i x="4" s="1"/>
        <i x="0"/>
        <i x="3"/>
        <i x="2"/>
        <i x="1"/>
        <i x="5"/>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_No" xr10:uid="{62530CC6-6A53-4AA2-A012-ADEB54D869F9}" sourceName="Week_No">
  <pivotTables>
    <pivotTable tabId="5" name="PivotTable4"/>
  </pivotTables>
  <data>
    <tabular pivotCacheId="301103093">
      <items count="5">
        <i x="4" s="1"/>
        <i x="2"/>
        <i x="1"/>
        <i x="0"/>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udent_Name" xr10:uid="{447DB17D-63F2-478D-AF67-893929748139}" cache="Slicer_Student_Name" caption="Select Student" columnCount="5" showCaption="0" style="Slicer Style 12" rowHeight="324000"/>
  <slicer name="Subject_Name" xr10:uid="{DF005EC6-8223-4B86-9C39-63B1D85F63C4}" cache="Slicer_Subject" caption="Subject" columnCount="3" showCaption="0" style="Slicer Style 12" rowHeight="504000"/>
  <slicer name="Week_No" xr10:uid="{C7A365B4-B5B3-4EF5-BAD3-81428DF121F5}" cache="Slicer_Week_No" caption="Week_No" columnCount="3" showCaption="0" style="Slicer Style 12" rowHeight="50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A2BB253-0B4E-4332-B83E-72AD20D634EB}" name="Table2" displayName="Table2" ref="CL1:DG53" totalsRowShown="0">
  <autoFilter ref="CL1:DG53" xr:uid="{1A2BB253-0B4E-4332-B83E-72AD20D634EB}"/>
  <tableColumns count="22">
    <tableColumn id="1" xr3:uid="{AE088BB6-A25F-4911-B249-8854D3FADA91}" name="Record_ID"/>
    <tableColumn id="2" xr3:uid="{0C0A246E-7E99-428E-B406-2C8EFEA716D3}" name="Date" dataDxfId="45"/>
    <tableColumn id="3" xr3:uid="{22A608C6-4635-4F64-AC03-D52B3A23C1F5}" name="Student_ID"/>
    <tableColumn id="4" xr3:uid="{2B3355CA-DC18-4D88-A330-5FDCBF430F83}" name="Student_Name"/>
    <tableColumn id="5" xr3:uid="{9CF0958B-12C7-4CA2-808D-AFBF42510A5D}" name="Gender"/>
    <tableColumn id="6" xr3:uid="{A58551E6-9A78-43FF-B1E2-82A99412164C}" name="Grade"/>
    <tableColumn id="7" xr3:uid="{4A612CA4-ECD1-49B8-B84E-A593010E82F6}" name="Class"/>
    <tableColumn id="8" xr3:uid="{11AE0712-821F-4535-9BDF-9A2CB69FDEC7}" name="Subject"/>
    <tableColumn id="9" xr3:uid="{CA1E11C8-5662-4498-82AD-7E825E00CF5B}" name="Topic"/>
    <tableColumn id="10" xr3:uid="{F7D1AD12-0BBF-4759-9FCF-1436AB8AE45D}" name="Study_Session"/>
    <tableColumn id="11" xr3:uid="{2A519CBB-3645-4911-91B3-7EB0C059571E}" name="Planned_Hours"/>
    <tableColumn id="12" xr3:uid="{106C3DCB-BE51-42E2-AA0E-62362B2B4BFD}" name="Actual_Study_Hours"/>
    <tableColumn id="13" xr3:uid="{924D7B09-6BBA-459F-8F9D-1CAB0BF337A7}" name="Assignment_Given"/>
    <tableColumn id="14" xr3:uid="{1CD20F1E-B2B4-4E0A-B6D3-48F24A97D85A}" name="Assignment_Completed"/>
    <tableColumn id="15" xr3:uid="{7D74F083-9870-454D-B568-8F20EF2BED4E}" name="Test_Score"/>
    <tableColumn id="16" xr3:uid="{70CEB8CD-5488-41AB-9143-D840EA3AE060}" name="Attendence_Status"/>
    <tableColumn id="17" xr3:uid="{A3997E8B-61D2-4561-B8AB-97E926A41ACD}" name="Attendance_Percentage"/>
    <tableColumn id="18" xr3:uid="{EEDE8FE7-6EA0-47AA-8FE3-FF2BC8733260}" name="Diffculty_Level"/>
    <tableColumn id="19" xr3:uid="{3BC2E0DD-A9F7-420D-8641-18846BFF996F}" name="Study_Method"/>
    <tableColumn id="20" xr3:uid="{18261EA2-B896-4F61-9D1B-75CD4042B30A}" name="Teacher"/>
    <tableColumn id="21" xr3:uid="{6F0DC3BE-6CAD-4901-A38A-5FAC6EBAB82E}" name="Remarks"/>
    <tableColumn id="22" xr3:uid="{8BAAD1D5-04D4-46DB-AA38-D63194A04620}" name="Week_No"/>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B4DA40B-8B3A-4771-8133-7B67D7556DDD}" name="tblStudyData" displayName="tblStudyData" ref="A8:V308" totalsRowShown="0" headerRowDxfId="30">
  <autoFilter ref="A8:V308" xr:uid="{BB4DA40B-8B3A-4771-8133-7B67D7556DDD}"/>
  <tableColumns count="22">
    <tableColumn id="1" xr3:uid="{CECC37A3-D8A1-4992-8269-9DE4B76D151F}" name="Record_ID"/>
    <tableColumn id="2" xr3:uid="{33800D10-C7DE-48EB-89DC-8B71562E9CFA}" name="Date" dataDxfId="29"/>
    <tableColumn id="3" xr3:uid="{70D8D94D-0095-40C6-A44C-B09031EAA2C2}" name="Student_ID"/>
    <tableColumn id="4" xr3:uid="{9A50F305-C922-4059-99B2-271DF27DB2F2}" name="Student_Name" dataDxfId="28">
      <calculatedColumnFormula>_xlfn.XLOOKUP(tblStudyData[[#This Row],[Student_ID]],tblStudents[Student_ID],tblStudents[Student_Name],"")</calculatedColumnFormula>
    </tableColumn>
    <tableColumn id="5" xr3:uid="{A521C8C9-2CD2-497E-A501-62A65E5980D9}" name="Gender" dataDxfId="27">
      <calculatedColumnFormula>_xlfn.XLOOKUP(tblStudyData[[#This Row],[Student_ID]],tblStudents[Student_ID],tblStudents[Gender],"")</calculatedColumnFormula>
    </tableColumn>
    <tableColumn id="6" xr3:uid="{9DDF4502-3512-43F8-AE67-2E392C7BE3F0}" name="Grade">
      <calculatedColumnFormula>_xlfn.XLOOKUP(tblStudyData[[#This Row],[Student_ID]],tblStudents[Student_ID],tblStudents[Grade],"")</calculatedColumnFormula>
    </tableColumn>
    <tableColumn id="7" xr3:uid="{91E7AEAB-7FDF-4D04-835F-2A5E63372A33}" name="Class">
      <calculatedColumnFormula>_xlfn.XLOOKUP(tblStudyData[[#This Row],[Student_ID]],tblStudents[Student_ID],tblStudents[Class],"")</calculatedColumnFormula>
    </tableColumn>
    <tableColumn id="8" xr3:uid="{A774066E-66AA-4976-B330-4D9BBD9C071F}" name="Subject"/>
    <tableColumn id="9" xr3:uid="{5E3490EE-27B3-4BA7-BBF1-E67D4E48F961}" name="Topic"/>
    <tableColumn id="10" xr3:uid="{413C0A81-2E1F-43FB-A7FA-31EC0D8E272A}" name="Study_Session"/>
    <tableColumn id="11" xr3:uid="{3E9118B1-9A4A-4A89-AAE5-DDF16D45C7A2}" name="Planned_Hours"/>
    <tableColumn id="12" xr3:uid="{90518CF2-C135-41EF-A907-52B056A7012F}" name="Actual_Study_Hours"/>
    <tableColumn id="13" xr3:uid="{F92F48C1-893E-495C-AC29-3B62CEC4AB03}" name="Assignment_Given"/>
    <tableColumn id="14" xr3:uid="{C031604B-57AA-4A9F-B031-2905B446B025}" name="Assignment_Completed"/>
    <tableColumn id="15" xr3:uid="{AA2A467B-B9BF-46BA-B2F1-987BF4D4C440}" name="Test_Score"/>
    <tableColumn id="16" xr3:uid="{F662173F-4AD5-4FBF-ABFB-1D91F7DD0BA8}" name="Attendence_Status"/>
    <tableColumn id="17" xr3:uid="{60E1AF68-0361-40E1-BFD8-715B5EDA7529}" name="Attendance_Percentage"/>
    <tableColumn id="18" xr3:uid="{33C2641C-CDF7-42E1-93B3-A74474D4DDEC}" name="Diffculty_Level"/>
    <tableColumn id="19" xr3:uid="{ACDFE00E-C589-4249-AAD6-0DCB566841DC}" name="Study_Method"/>
    <tableColumn id="20" xr3:uid="{7B815ACE-3169-445C-88E2-B6421CF9D39D}" name="Teacher"/>
    <tableColumn id="21" xr3:uid="{CC726BDC-C3BB-4300-8722-BC063BB12B67}" name="Remarks"/>
    <tableColumn id="22" xr3:uid="{01B2777D-40C6-4475-856E-D4E2E9755D5E}" name="Week_No" dataDxfId="26">
      <calculatedColumnFormula>WEEKNUM(tblStudyData[[#This Row],[Date]],2)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56D7AC0-4EDB-4318-86B3-5DB331FD0601}" name="tblGrades" displayName="tblGrades" ref="H34:I42" totalsRowShown="0" headerRowDxfId="8">
  <autoFilter ref="H34:I42" xr:uid="{E56D7AC0-4EDB-4318-86B3-5DB331FD0601}"/>
  <tableColumns count="2">
    <tableColumn id="1" xr3:uid="{9FEAB657-C16E-4C6B-B606-7F3065A8B763}" name="Grade"/>
    <tableColumn id="2" xr3:uid="{B018F32B-6EBD-4473-875E-90A5A99C8564}" name="Clas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96A93C0-0065-461E-A3A7-2BEFCFE0FA5F}" name="tblStudents" displayName="tblStudents" ref="A5:E20" totalsRowShown="0" headerRowDxfId="7">
  <autoFilter ref="A5:E20" xr:uid="{596A93C0-0065-461E-A3A7-2BEFCFE0FA5F}"/>
  <tableColumns count="5">
    <tableColumn id="1" xr3:uid="{C16732ED-BADE-4FAD-A56E-55F7646A6BB8}" name="Student_ID"/>
    <tableColumn id="2" xr3:uid="{AC4F805D-D25E-4DE5-A5DF-E357D3E73A81}" name="Student_Name"/>
    <tableColumn id="3" xr3:uid="{F4855956-0F06-4C4F-B422-A7CD0D0BB5E4}" name="Gender"/>
    <tableColumn id="4" xr3:uid="{20D0A072-7881-4BAE-82A5-5848415FB786}" name="Grade"/>
    <tableColumn id="5" xr3:uid="{A9B486A8-D23E-4544-AF6C-3A55777FF866}" name="Clas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FCAF9EF-D4AC-4E4E-90FE-F74A83C702FA}" name="tblSubjects" displayName="tblSubjects" ref="G5:G11" totalsRowShown="0" headerRowDxfId="6" tableBorderDxfId="5">
  <autoFilter ref="G5:G11" xr:uid="{4FCAF9EF-D4AC-4E4E-90FE-F74A83C702FA}"/>
  <tableColumns count="1">
    <tableColumn id="1" xr3:uid="{34B55253-8499-4659-88B0-024D2A619F63}" name="Subject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6ADE08A-54FE-4A7F-B646-980B3654B40E}" name="tblTopics" displayName="tblTopics" ref="C34:D58" totalsRowShown="0">
  <autoFilter ref="C34:D58" xr:uid="{66ADE08A-54FE-4A7F-B646-980B3654B40E}"/>
  <tableColumns count="2">
    <tableColumn id="1" xr3:uid="{5806BA6E-356F-4B35-8741-49DC545BBCBD}" name="Subject"/>
    <tableColumn id="2" xr3:uid="{0EB621EA-5E05-4535-B344-406B884FB907}" name="Topic"/>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ADCB01-3F82-464E-AA1E-18A04DECF7EB}" name="tblSessions" displayName="tblSessions" ref="I5:I9" totalsRowShown="0" headerRowDxfId="4" tableBorderDxfId="3">
  <autoFilter ref="I5:I9" xr:uid="{5BADCB01-3F82-464E-AA1E-18A04DECF7EB}"/>
  <tableColumns count="1">
    <tableColumn id="1" xr3:uid="{C9ADDE28-DCD5-472F-841B-5025E73B4996}" name="Study_Session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F084E3E-0136-41D4-93C6-91FC5D4C66E7}" name="tblDifficulty" displayName="tblDifficulty" ref="K5:K8" totalsRowShown="0" headerRowDxfId="2" tableBorderDxfId="1">
  <autoFilter ref="K5:K8" xr:uid="{7F084E3E-0136-41D4-93C6-91FC5D4C66E7}"/>
  <tableColumns count="1">
    <tableColumn id="1" xr3:uid="{78B5FE30-7085-46A4-B73E-F1808A702D90}" name="Difficult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3DEA3C-3C66-4DF5-947C-1ED11CF7B856}" name="tblTeachers" displayName="tblTeachers" ref="I18:I24" totalsRowShown="0" headerRowDxfId="0">
  <autoFilter ref="I18:I24" xr:uid="{803DEA3C-3C66-4DF5-947C-1ED11CF7B856}"/>
  <tableColumns count="1">
    <tableColumn id="1" xr3:uid="{08067033-61F6-4F76-8EC1-259355EFC383}" name="Teacher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D48F97B-C1FA-47AF-8459-31EC8CBED5AD}" name="tblStudymethods" displayName="tblStudymethods" ref="G18:G24" totalsRowShown="0">
  <autoFilter ref="G18:G24" xr:uid="{6D48F97B-C1FA-47AF-8459-31EC8CBED5AD}"/>
  <tableColumns count="1">
    <tableColumn id="1" xr3:uid="{9BA9A0CD-FA0E-4697-B698-8A7B8EDF7A17}" name="Study_Method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00FF66"/>
        </a:solidFill>
        <a:effectLst>
          <a:glow rad="228600">
            <a:schemeClr val="accent6">
              <a:satMod val="175000"/>
              <a:alpha val="40000"/>
            </a:schemeClr>
          </a:glow>
        </a:effectLst>
      </a:spPr>
      <a:bodyPr vertOverflow="clip"/>
      <a:lstStyle>
        <a:defPPr algn="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4.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8E717-0C61-419F-A108-AF1493C46C63}">
  <sheetPr codeName="Sheet2">
    <tabColor theme="9" tint="-0.249977111117893"/>
  </sheetPr>
  <dimension ref="A1:DG53"/>
  <sheetViews>
    <sheetView topLeftCell="A40" zoomScale="79" zoomScaleNormal="79" workbookViewId="0">
      <selection sqref="A1:L2"/>
    </sheetView>
  </sheetViews>
  <sheetFormatPr defaultRowHeight="14.4" x14ac:dyDescent="0.3"/>
  <cols>
    <col min="1" max="12" width="21.77734375" customWidth="1"/>
    <col min="13" max="13" width="14.6640625" bestFit="1" customWidth="1"/>
    <col min="14" max="14" width="20" customWidth="1"/>
    <col min="15" max="15" width="18.44140625" customWidth="1"/>
    <col min="16" max="16" width="22.88671875" customWidth="1"/>
    <col min="17" max="17" width="12" customWidth="1"/>
    <col min="18" max="18" width="18.88671875" customWidth="1"/>
    <col min="19" max="19" width="23.109375" customWidth="1"/>
    <col min="20" max="20" width="15.33203125" customWidth="1"/>
    <col min="21" max="21" width="15.5546875" customWidth="1"/>
    <col min="22" max="22" width="9.5546875" customWidth="1"/>
    <col min="23" max="23" width="10.109375" customWidth="1"/>
    <col min="24" max="24" width="11.109375" customWidth="1"/>
  </cols>
  <sheetData>
    <row r="1" spans="1:111" ht="22.8" customHeight="1" x14ac:dyDescent="0.3">
      <c r="A1" s="95" t="s">
        <v>510</v>
      </c>
      <c r="B1" s="95"/>
      <c r="C1" s="95"/>
      <c r="D1" s="95"/>
      <c r="E1" s="95"/>
      <c r="F1" s="95"/>
      <c r="G1" s="95"/>
      <c r="H1" s="95"/>
      <c r="I1" s="95"/>
      <c r="J1" s="95"/>
      <c r="K1" s="95"/>
      <c r="L1" s="95"/>
      <c r="CL1" t="s">
        <v>0</v>
      </c>
      <c r="CM1" t="s">
        <v>1</v>
      </c>
      <c r="CN1" t="s">
        <v>2</v>
      </c>
      <c r="CO1" t="s">
        <v>3</v>
      </c>
      <c r="CP1" t="s">
        <v>4</v>
      </c>
      <c r="CQ1" t="s">
        <v>5</v>
      </c>
      <c r="CR1" t="s">
        <v>6</v>
      </c>
      <c r="CS1" t="s">
        <v>7</v>
      </c>
      <c r="CT1" t="s">
        <v>8</v>
      </c>
      <c r="CU1" t="s">
        <v>9</v>
      </c>
      <c r="CV1" t="s">
        <v>10</v>
      </c>
      <c r="CW1" t="s">
        <v>11</v>
      </c>
      <c r="CX1" t="s">
        <v>12</v>
      </c>
      <c r="CY1" t="s">
        <v>13</v>
      </c>
      <c r="CZ1" t="s">
        <v>14</v>
      </c>
      <c r="DA1" t="s">
        <v>15</v>
      </c>
      <c r="DB1" t="s">
        <v>16</v>
      </c>
      <c r="DC1" t="s">
        <v>17</v>
      </c>
      <c r="DD1" t="s">
        <v>18</v>
      </c>
      <c r="DE1" t="s">
        <v>19</v>
      </c>
      <c r="DF1" t="s">
        <v>20</v>
      </c>
      <c r="DG1" t="s">
        <v>446</v>
      </c>
    </row>
    <row r="2" spans="1:111" ht="22.8" customHeight="1" x14ac:dyDescent="0.3">
      <c r="A2" s="95"/>
      <c r="B2" s="95"/>
      <c r="C2" s="95"/>
      <c r="D2" s="95"/>
      <c r="E2" s="95"/>
      <c r="F2" s="95"/>
      <c r="G2" s="95"/>
      <c r="H2" s="95"/>
      <c r="I2" s="95"/>
      <c r="J2" s="95"/>
      <c r="K2" s="95"/>
      <c r="L2" s="95"/>
    </row>
    <row r="3" spans="1:111" ht="30" customHeight="1" x14ac:dyDescent="0.3">
      <c r="A3" s="96"/>
      <c r="B3" s="96"/>
      <c r="C3" s="96"/>
      <c r="D3" s="96"/>
      <c r="E3" s="96"/>
      <c r="F3" s="96"/>
      <c r="G3" s="96"/>
      <c r="H3" s="96"/>
      <c r="I3" s="96"/>
      <c r="J3" s="96"/>
      <c r="K3" s="96"/>
      <c r="L3" s="96"/>
      <c r="CL3" t="s">
        <v>403</v>
      </c>
      <c r="CM3" s="27">
        <v>46236</v>
      </c>
      <c r="CN3" t="s">
        <v>27</v>
      </c>
      <c r="CO3" t="s">
        <v>32</v>
      </c>
      <c r="CP3" t="s">
        <v>37</v>
      </c>
      <c r="CQ3">
        <v>10</v>
      </c>
      <c r="CR3" t="s">
        <v>38</v>
      </c>
      <c r="CS3" t="s">
        <v>42</v>
      </c>
      <c r="CT3" t="s">
        <v>113</v>
      </c>
      <c r="CU3" t="s">
        <v>50</v>
      </c>
      <c r="CV3">
        <v>4</v>
      </c>
      <c r="CW3">
        <v>3.1</v>
      </c>
      <c r="CX3" t="s">
        <v>52</v>
      </c>
      <c r="CY3" t="s">
        <v>420</v>
      </c>
      <c r="CZ3">
        <v>77</v>
      </c>
      <c r="DA3" t="s">
        <v>53</v>
      </c>
      <c r="DB3">
        <v>1</v>
      </c>
      <c r="DC3" t="s">
        <v>54</v>
      </c>
      <c r="DD3" t="s">
        <v>59</v>
      </c>
      <c r="DE3" t="s">
        <v>65</v>
      </c>
      <c r="DF3" t="s">
        <v>411</v>
      </c>
      <c r="DG3">
        <v>31</v>
      </c>
    </row>
    <row r="4" spans="1:111" x14ac:dyDescent="0.3">
      <c r="CL4" t="s">
        <v>399</v>
      </c>
      <c r="CM4" s="27">
        <v>46258</v>
      </c>
      <c r="CN4" t="s">
        <v>72</v>
      </c>
      <c r="CO4" t="s">
        <v>82</v>
      </c>
      <c r="CP4" t="s">
        <v>37</v>
      </c>
      <c r="CQ4">
        <v>12</v>
      </c>
      <c r="CR4" t="s">
        <v>38</v>
      </c>
      <c r="CS4" t="s">
        <v>42</v>
      </c>
      <c r="CT4" t="s">
        <v>113</v>
      </c>
      <c r="CU4" t="s">
        <v>51</v>
      </c>
      <c r="CV4">
        <v>4</v>
      </c>
      <c r="CW4">
        <v>3.6</v>
      </c>
      <c r="CX4" t="s">
        <v>52</v>
      </c>
      <c r="CY4" t="s">
        <v>420</v>
      </c>
      <c r="CZ4">
        <v>94</v>
      </c>
      <c r="DA4" t="s">
        <v>409</v>
      </c>
      <c r="DB4">
        <v>0.8</v>
      </c>
      <c r="DC4" t="s">
        <v>55</v>
      </c>
      <c r="DD4" t="s">
        <v>57</v>
      </c>
      <c r="DE4" t="s">
        <v>65</v>
      </c>
      <c r="DF4" t="s">
        <v>411</v>
      </c>
      <c r="DG4">
        <v>35</v>
      </c>
    </row>
    <row r="5" spans="1:111" ht="23.4" x14ac:dyDescent="0.45">
      <c r="A5" s="98" t="s">
        <v>491</v>
      </c>
      <c r="B5" s="98"/>
      <c r="C5" s="98"/>
      <c r="D5" s="98"/>
      <c r="E5" s="98"/>
      <c r="F5" s="98"/>
      <c r="G5" s="98"/>
      <c r="H5" s="98"/>
      <c r="I5" s="98"/>
      <c r="J5" s="98"/>
      <c r="CL5" t="s">
        <v>391</v>
      </c>
      <c r="CM5" s="27">
        <v>46251</v>
      </c>
      <c r="CN5" t="s">
        <v>70</v>
      </c>
      <c r="CO5" t="s">
        <v>80</v>
      </c>
      <c r="CP5" t="s">
        <v>37</v>
      </c>
      <c r="CQ5">
        <v>11</v>
      </c>
      <c r="CR5" t="s">
        <v>39</v>
      </c>
      <c r="CS5" t="s">
        <v>42</v>
      </c>
      <c r="CT5" t="s">
        <v>113</v>
      </c>
      <c r="CU5" t="s">
        <v>88</v>
      </c>
      <c r="CV5">
        <v>3</v>
      </c>
      <c r="CW5">
        <v>3</v>
      </c>
      <c r="CX5" t="s">
        <v>52</v>
      </c>
      <c r="CY5" t="s">
        <v>420</v>
      </c>
      <c r="CZ5">
        <v>79</v>
      </c>
      <c r="DA5" t="s">
        <v>412</v>
      </c>
      <c r="DB5">
        <v>0</v>
      </c>
      <c r="DC5" t="s">
        <v>56</v>
      </c>
      <c r="DD5" t="s">
        <v>57</v>
      </c>
      <c r="DE5" t="s">
        <v>65</v>
      </c>
      <c r="DF5" t="s">
        <v>413</v>
      </c>
      <c r="DG5">
        <v>34</v>
      </c>
    </row>
    <row r="6" spans="1:111" ht="18" x14ac:dyDescent="0.35">
      <c r="A6" s="29"/>
      <c r="B6" s="29"/>
      <c r="C6" s="29"/>
      <c r="D6" s="29"/>
      <c r="E6" s="29"/>
      <c r="F6" s="29"/>
      <c r="G6" s="29"/>
      <c r="H6" s="38"/>
      <c r="I6" s="29"/>
      <c r="J6" s="29"/>
      <c r="CL6" t="s">
        <v>385</v>
      </c>
      <c r="CM6" s="27">
        <v>46252</v>
      </c>
      <c r="CN6" t="s">
        <v>30</v>
      </c>
      <c r="CO6" t="s">
        <v>35</v>
      </c>
      <c r="CP6" t="s">
        <v>36</v>
      </c>
      <c r="CQ6">
        <v>12</v>
      </c>
      <c r="CR6" t="s">
        <v>38</v>
      </c>
      <c r="CS6" t="s">
        <v>42</v>
      </c>
      <c r="CT6" t="s">
        <v>113</v>
      </c>
      <c r="CU6" t="s">
        <v>49</v>
      </c>
      <c r="CV6">
        <v>4</v>
      </c>
      <c r="CW6">
        <v>3.4</v>
      </c>
      <c r="CX6" t="s">
        <v>52</v>
      </c>
      <c r="CY6" t="s">
        <v>420</v>
      </c>
      <c r="CZ6">
        <v>93</v>
      </c>
      <c r="DA6" t="s">
        <v>53</v>
      </c>
      <c r="DB6">
        <v>1</v>
      </c>
      <c r="DC6" t="s">
        <v>56</v>
      </c>
      <c r="DD6" t="s">
        <v>60</v>
      </c>
      <c r="DE6" t="s">
        <v>65</v>
      </c>
      <c r="DF6" t="s">
        <v>414</v>
      </c>
      <c r="DG6">
        <v>34</v>
      </c>
    </row>
    <row r="7" spans="1:111" ht="23.4" x14ac:dyDescent="0.45">
      <c r="A7" s="99" t="s">
        <v>493</v>
      </c>
      <c r="B7" s="99"/>
      <c r="C7" s="28"/>
      <c r="CL7" t="s">
        <v>369</v>
      </c>
      <c r="CM7" s="27">
        <v>46255</v>
      </c>
      <c r="CN7" t="s">
        <v>74</v>
      </c>
      <c r="CO7" t="s">
        <v>84</v>
      </c>
      <c r="CP7" t="s">
        <v>37</v>
      </c>
      <c r="CQ7">
        <v>11</v>
      </c>
      <c r="CR7" t="s">
        <v>38</v>
      </c>
      <c r="CS7" t="s">
        <v>42</v>
      </c>
      <c r="CT7" t="s">
        <v>113</v>
      </c>
      <c r="CU7" t="s">
        <v>49</v>
      </c>
      <c r="CV7">
        <v>3</v>
      </c>
      <c r="CW7">
        <v>2.2000000000000002</v>
      </c>
      <c r="CX7" t="s">
        <v>52</v>
      </c>
      <c r="CY7" t="s">
        <v>420</v>
      </c>
      <c r="CZ7">
        <v>76</v>
      </c>
      <c r="DA7" t="s">
        <v>412</v>
      </c>
      <c r="DB7">
        <v>0</v>
      </c>
      <c r="DC7" t="s">
        <v>55</v>
      </c>
      <c r="DD7" t="s">
        <v>60</v>
      </c>
      <c r="DE7" t="s">
        <v>65</v>
      </c>
      <c r="DF7" t="s">
        <v>413</v>
      </c>
      <c r="DG7">
        <v>34</v>
      </c>
    </row>
    <row r="8" spans="1:111" x14ac:dyDescent="0.3">
      <c r="A8" t="s">
        <v>492</v>
      </c>
      <c r="B8" t="s">
        <v>76</v>
      </c>
      <c r="CL8" t="s">
        <v>355</v>
      </c>
      <c r="CM8" s="27">
        <v>46246</v>
      </c>
      <c r="CN8" t="s">
        <v>72</v>
      </c>
      <c r="CO8" t="s">
        <v>82</v>
      </c>
      <c r="CP8" t="s">
        <v>37</v>
      </c>
      <c r="CQ8">
        <v>12</v>
      </c>
      <c r="CR8" t="s">
        <v>38</v>
      </c>
      <c r="CS8" t="s">
        <v>42</v>
      </c>
      <c r="CT8" t="s">
        <v>113</v>
      </c>
      <c r="CU8" t="s">
        <v>88</v>
      </c>
      <c r="CV8">
        <v>1</v>
      </c>
      <c r="CW8">
        <v>0.8</v>
      </c>
      <c r="CX8" t="s">
        <v>52</v>
      </c>
      <c r="CY8" t="s">
        <v>420</v>
      </c>
      <c r="CZ8">
        <v>89</v>
      </c>
      <c r="DA8" t="s">
        <v>409</v>
      </c>
      <c r="DB8">
        <v>0.8</v>
      </c>
      <c r="DC8" t="s">
        <v>56</v>
      </c>
      <c r="DD8" t="s">
        <v>58</v>
      </c>
      <c r="DE8" t="s">
        <v>65</v>
      </c>
      <c r="DF8" t="s">
        <v>410</v>
      </c>
      <c r="DG8">
        <v>33</v>
      </c>
    </row>
    <row r="9" spans="1:111" x14ac:dyDescent="0.3">
      <c r="CL9" t="s">
        <v>350</v>
      </c>
      <c r="CM9" s="27">
        <v>46238</v>
      </c>
      <c r="CN9" t="s">
        <v>75</v>
      </c>
      <c r="CO9" t="s">
        <v>85</v>
      </c>
      <c r="CP9" t="s">
        <v>36</v>
      </c>
      <c r="CQ9">
        <v>9</v>
      </c>
      <c r="CR9" t="s">
        <v>38</v>
      </c>
      <c r="CS9" t="s">
        <v>42</v>
      </c>
      <c r="CT9" t="s">
        <v>113</v>
      </c>
      <c r="CU9" t="s">
        <v>88</v>
      </c>
      <c r="CV9">
        <v>2</v>
      </c>
      <c r="CW9">
        <v>1.7</v>
      </c>
      <c r="CX9" t="s">
        <v>52</v>
      </c>
      <c r="CY9" t="s">
        <v>420</v>
      </c>
      <c r="CZ9">
        <v>86</v>
      </c>
      <c r="DA9" t="s">
        <v>53</v>
      </c>
      <c r="DB9">
        <v>1</v>
      </c>
      <c r="DC9" t="s">
        <v>56</v>
      </c>
      <c r="DD9" t="s">
        <v>91</v>
      </c>
      <c r="DE9" t="s">
        <v>65</v>
      </c>
      <c r="DF9" t="s">
        <v>410</v>
      </c>
      <c r="DG9">
        <v>32</v>
      </c>
    </row>
    <row r="10" spans="1:111" ht="18" x14ac:dyDescent="0.35">
      <c r="A10" s="97" t="s">
        <v>506</v>
      </c>
      <c r="B10" s="97"/>
      <c r="D10" s="97" t="s">
        <v>507</v>
      </c>
      <c r="E10" s="97"/>
      <c r="F10" s="97"/>
      <c r="G10" s="97"/>
      <c r="H10" s="97"/>
      <c r="I10" s="97"/>
      <c r="CL10" t="s">
        <v>343</v>
      </c>
      <c r="CM10" s="27">
        <v>46249</v>
      </c>
      <c r="CN10" t="s">
        <v>28</v>
      </c>
      <c r="CO10" t="s">
        <v>33</v>
      </c>
      <c r="CP10" t="s">
        <v>36</v>
      </c>
      <c r="CQ10">
        <v>11</v>
      </c>
      <c r="CR10" t="s">
        <v>39</v>
      </c>
      <c r="CS10" t="s">
        <v>42</v>
      </c>
      <c r="CT10" t="s">
        <v>113</v>
      </c>
      <c r="CU10" t="s">
        <v>88</v>
      </c>
      <c r="CV10">
        <v>4</v>
      </c>
      <c r="CW10">
        <v>3.2</v>
      </c>
      <c r="CX10" t="s">
        <v>52</v>
      </c>
      <c r="CY10" t="s">
        <v>420</v>
      </c>
      <c r="CZ10">
        <v>85</v>
      </c>
      <c r="DA10" t="s">
        <v>412</v>
      </c>
      <c r="DB10">
        <v>0</v>
      </c>
      <c r="DC10" t="s">
        <v>55</v>
      </c>
      <c r="DD10" t="s">
        <v>60</v>
      </c>
      <c r="DE10" t="s">
        <v>65</v>
      </c>
      <c r="DF10" t="s">
        <v>413</v>
      </c>
      <c r="DG10">
        <v>33</v>
      </c>
    </row>
    <row r="11" spans="1:111" x14ac:dyDescent="0.3">
      <c r="A11" s="41" t="s">
        <v>494</v>
      </c>
      <c r="B11" s="41" t="str">
        <f>B8</f>
        <v>Anjali</v>
      </c>
      <c r="D11" s="41" t="s">
        <v>7</v>
      </c>
      <c r="E11" s="41" t="s">
        <v>496</v>
      </c>
      <c r="F11" s="41" t="s">
        <v>497</v>
      </c>
      <c r="G11" s="41" t="s">
        <v>452</v>
      </c>
      <c r="H11" s="41"/>
      <c r="I11" s="41" t="s">
        <v>456</v>
      </c>
      <c r="CL11" t="s">
        <v>337</v>
      </c>
      <c r="CM11" s="27">
        <v>46256</v>
      </c>
      <c r="CN11" t="s">
        <v>68</v>
      </c>
      <c r="CO11" t="s">
        <v>78</v>
      </c>
      <c r="CP11" t="s">
        <v>37</v>
      </c>
      <c r="CQ11">
        <v>12</v>
      </c>
      <c r="CR11" t="s">
        <v>39</v>
      </c>
      <c r="CS11" t="s">
        <v>42</v>
      </c>
      <c r="CT11" t="s">
        <v>113</v>
      </c>
      <c r="CU11" t="s">
        <v>49</v>
      </c>
      <c r="CV11">
        <v>4</v>
      </c>
      <c r="CW11">
        <v>3.6</v>
      </c>
      <c r="CX11" t="s">
        <v>52</v>
      </c>
      <c r="CY11" t="s">
        <v>420</v>
      </c>
      <c r="CZ11">
        <v>95</v>
      </c>
      <c r="DA11" t="s">
        <v>412</v>
      </c>
      <c r="DB11">
        <v>0</v>
      </c>
      <c r="DC11" t="s">
        <v>54</v>
      </c>
      <c r="DD11" t="s">
        <v>90</v>
      </c>
      <c r="DE11" t="s">
        <v>65</v>
      </c>
      <c r="DF11" t="s">
        <v>413</v>
      </c>
      <c r="DG11">
        <v>34</v>
      </c>
    </row>
    <row r="12" spans="1:111" x14ac:dyDescent="0.3">
      <c r="A12" s="41" t="s">
        <v>2</v>
      </c>
      <c r="B12" s="41" t="str">
        <f>_xlfn.XLOOKUP(B8,tblStudents[Student_Name],tblStudents[Student_ID],"")</f>
        <v>ST006</v>
      </c>
      <c r="D12" s="41" t="str" cm="1">
        <f t="array" ref="D12:D17">tblSubjects[Subjects]</f>
        <v>Mathematics</v>
      </c>
      <c r="E12" s="41">
        <f>SUMIFS(tblStudyData[Actual_Study_Hours],tblStudyData[Student_Name],$B$8,tblStudyData[Subject],D12)</f>
        <v>11.1</v>
      </c>
      <c r="F12" s="42">
        <f>AVERAGEIFS(tblStudyData[Test_Score],tblStudyData[Student_Name],$B$8,tblStudyData[Subject],D12)</f>
        <v>78.8</v>
      </c>
      <c r="G12" s="43">
        <f>AVERAGEIFS(tblStudyData[Attendance_Percentage],tblStudyData[Student_Name],$B$8,tblStudyData[Subject],D12)</f>
        <v>0.93599999999999994</v>
      </c>
      <c r="H12" s="43"/>
      <c r="I12" s="41" t="str">
        <f t="shared" ref="I12:I17" si="0">IF(F12&gt;=80,"Excellent",IF(F12&gt;=60,"Good",IF(F12&gt;=40,"Average","Poor")))</f>
        <v>Good</v>
      </c>
      <c r="CL12" t="s">
        <v>332</v>
      </c>
      <c r="CM12" s="27">
        <v>46239</v>
      </c>
      <c r="CN12" t="s">
        <v>26</v>
      </c>
      <c r="CO12" t="s">
        <v>31</v>
      </c>
      <c r="CP12" t="s">
        <v>36</v>
      </c>
      <c r="CQ12">
        <v>10</v>
      </c>
      <c r="CR12" t="s">
        <v>38</v>
      </c>
      <c r="CS12" t="s">
        <v>42</v>
      </c>
      <c r="CT12" t="s">
        <v>113</v>
      </c>
      <c r="CU12" t="s">
        <v>51</v>
      </c>
      <c r="CV12">
        <v>4</v>
      </c>
      <c r="CW12">
        <v>2.7</v>
      </c>
      <c r="CX12" t="s">
        <v>52</v>
      </c>
      <c r="CY12" t="s">
        <v>420</v>
      </c>
      <c r="CZ12">
        <v>86</v>
      </c>
      <c r="DA12" t="s">
        <v>53</v>
      </c>
      <c r="DB12">
        <v>1</v>
      </c>
      <c r="DC12" t="s">
        <v>54</v>
      </c>
      <c r="DD12" t="s">
        <v>58</v>
      </c>
      <c r="DE12" t="s">
        <v>65</v>
      </c>
      <c r="DF12" t="s">
        <v>410</v>
      </c>
      <c r="DG12">
        <v>32</v>
      </c>
    </row>
    <row r="13" spans="1:111" x14ac:dyDescent="0.3">
      <c r="A13" s="41" t="s">
        <v>5</v>
      </c>
      <c r="B13" s="41">
        <f>_xlfn.XLOOKUP(B8,tblStudents[Student_Name],tblStudents[Grade],"")</f>
        <v>11</v>
      </c>
      <c r="D13" s="41" t="str">
        <v>Physics</v>
      </c>
      <c r="E13" s="41">
        <f>SUMIFS(tblStudyData[Actual_Study_Hours],tblStudyData[Student_Name],$B$8,tblStudyData[Subject],D13)</f>
        <v>5.9</v>
      </c>
      <c r="F13" s="42">
        <f>AVERAGEIFS(tblStudyData[Test_Score],tblStudyData[Student_Name],$B$8,tblStudyData[Subject],D13)</f>
        <v>78</v>
      </c>
      <c r="G13" s="43">
        <f>AVERAGEIFS(tblStudyData[Attendance_Percentage],tblStudyData[Student_Name],$B$8,tblStudyData[Subject],D13)</f>
        <v>0.9</v>
      </c>
      <c r="H13" s="43"/>
      <c r="I13" s="41" t="str">
        <f t="shared" si="0"/>
        <v>Good</v>
      </c>
      <c r="CL13" t="s">
        <v>331</v>
      </c>
      <c r="CM13" s="27">
        <v>46255</v>
      </c>
      <c r="CN13" t="s">
        <v>27</v>
      </c>
      <c r="CO13" t="s">
        <v>32</v>
      </c>
      <c r="CP13" t="s">
        <v>37</v>
      </c>
      <c r="CQ13">
        <v>10</v>
      </c>
      <c r="CR13" t="s">
        <v>38</v>
      </c>
      <c r="CS13" t="s">
        <v>42</v>
      </c>
      <c r="CT13" t="s">
        <v>113</v>
      </c>
      <c r="CU13" t="s">
        <v>51</v>
      </c>
      <c r="CV13">
        <v>4</v>
      </c>
      <c r="CW13">
        <v>2.7</v>
      </c>
      <c r="CX13" t="s">
        <v>52</v>
      </c>
      <c r="CY13" t="s">
        <v>420</v>
      </c>
      <c r="CZ13">
        <v>79</v>
      </c>
      <c r="DA13" t="s">
        <v>409</v>
      </c>
      <c r="DB13">
        <v>0.8</v>
      </c>
      <c r="DC13" t="s">
        <v>54</v>
      </c>
      <c r="DD13" t="s">
        <v>91</v>
      </c>
      <c r="DE13" t="s">
        <v>65</v>
      </c>
      <c r="DF13" t="s">
        <v>411</v>
      </c>
      <c r="DG13">
        <v>34</v>
      </c>
    </row>
    <row r="14" spans="1:111" x14ac:dyDescent="0.3">
      <c r="A14" s="41" t="s">
        <v>6</v>
      </c>
      <c r="B14" s="41" t="str">
        <f>_xlfn.XLOOKUP(B8,tblStudents[Student_Name],tblStudents[Class],"")</f>
        <v>A</v>
      </c>
      <c r="D14" s="41" t="str">
        <v>Chemistry</v>
      </c>
      <c r="E14" s="41">
        <f>SUMIFS(tblStudyData[Actual_Study_Hours],tblStudyData[Student_Name],$B$8,tblStudyData[Subject],D14)</f>
        <v>7.0000000000000009</v>
      </c>
      <c r="F14" s="42">
        <f>AVERAGEIFS(tblStudyData[Test_Score],tblStudyData[Student_Name],$B$8,tblStudyData[Subject],D14)</f>
        <v>76.666666666666671</v>
      </c>
      <c r="G14" s="43">
        <f>AVERAGEIFS(tblStudyData[Attendance_Percentage],tblStudyData[Student_Name],$B$8,tblStudyData[Subject],D14)</f>
        <v>0.8933333333333332</v>
      </c>
      <c r="H14" s="43"/>
      <c r="I14" s="41" t="str">
        <f t="shared" si="0"/>
        <v>Good</v>
      </c>
      <c r="CL14" t="s">
        <v>124</v>
      </c>
      <c r="CM14" s="27">
        <v>46235</v>
      </c>
      <c r="CN14" t="s">
        <v>74</v>
      </c>
      <c r="CO14" t="s">
        <v>84</v>
      </c>
      <c r="CP14" t="s">
        <v>37</v>
      </c>
      <c r="CQ14">
        <v>11</v>
      </c>
      <c r="CR14" t="s">
        <v>38</v>
      </c>
      <c r="CS14" t="s">
        <v>42</v>
      </c>
      <c r="CT14" t="s">
        <v>113</v>
      </c>
      <c r="CU14" t="s">
        <v>88</v>
      </c>
      <c r="CV14">
        <v>4</v>
      </c>
      <c r="CW14">
        <v>3</v>
      </c>
      <c r="CX14" t="s">
        <v>52</v>
      </c>
      <c r="CY14" t="s">
        <v>421</v>
      </c>
      <c r="CZ14">
        <v>69</v>
      </c>
      <c r="DA14" t="s">
        <v>53</v>
      </c>
      <c r="DB14">
        <v>1</v>
      </c>
      <c r="DC14" t="s">
        <v>55</v>
      </c>
      <c r="DD14" t="s">
        <v>57</v>
      </c>
      <c r="DE14" t="s">
        <v>65</v>
      </c>
      <c r="DF14" t="s">
        <v>413</v>
      </c>
      <c r="DG14">
        <v>31</v>
      </c>
    </row>
    <row r="15" spans="1:111" x14ac:dyDescent="0.3">
      <c r="A15" s="41" t="s">
        <v>425</v>
      </c>
      <c r="B15" s="41">
        <f>SUMIF(tblStudyData[Student_Name],B8,tblStudyData[Test_Score])</f>
        <v>2531</v>
      </c>
      <c r="D15" s="41" t="str">
        <v>English</v>
      </c>
      <c r="E15" s="41">
        <f>SUMIFS(tblStudyData[Actual_Study_Hours],tblStudyData[Student_Name],$B$8,tblStudyData[Subject],D15)</f>
        <v>21.5</v>
      </c>
      <c r="F15" s="42">
        <f>AVERAGEIFS(tblStudyData[Test_Score],tblStudyData[Student_Name],$B$8,tblStudyData[Subject],D15)</f>
        <v>76.583333333333329</v>
      </c>
      <c r="G15" s="43">
        <f>AVERAGEIFS(tblStudyData[Attendance_Percentage],tblStudyData[Student_Name],$B$8,tblStudyData[Subject],D15)</f>
        <v>0.91083333333333327</v>
      </c>
      <c r="H15" s="43"/>
      <c r="I15" s="41" t="str">
        <f t="shared" si="0"/>
        <v>Good</v>
      </c>
      <c r="CL15" t="s">
        <v>125</v>
      </c>
      <c r="CM15" s="27">
        <v>46245</v>
      </c>
      <c r="CN15" t="s">
        <v>75</v>
      </c>
      <c r="CO15" t="s">
        <v>85</v>
      </c>
      <c r="CP15" t="s">
        <v>36</v>
      </c>
      <c r="CQ15">
        <v>9</v>
      </c>
      <c r="CR15" t="s">
        <v>38</v>
      </c>
      <c r="CS15" t="s">
        <v>42</v>
      </c>
      <c r="CT15" t="s">
        <v>113</v>
      </c>
      <c r="CU15" t="s">
        <v>88</v>
      </c>
      <c r="CV15">
        <v>2</v>
      </c>
      <c r="CW15">
        <v>2</v>
      </c>
      <c r="CX15" t="s">
        <v>52</v>
      </c>
      <c r="CY15" t="s">
        <v>420</v>
      </c>
      <c r="CZ15">
        <v>89</v>
      </c>
      <c r="DA15" t="s">
        <v>53</v>
      </c>
      <c r="DB15">
        <v>1</v>
      </c>
      <c r="DC15" t="s">
        <v>56</v>
      </c>
      <c r="DD15" t="s">
        <v>58</v>
      </c>
      <c r="DE15" t="s">
        <v>65</v>
      </c>
      <c r="DF15" t="s">
        <v>410</v>
      </c>
      <c r="DG15">
        <v>33</v>
      </c>
    </row>
    <row r="16" spans="1:111" x14ac:dyDescent="0.3">
      <c r="A16" s="41" t="s">
        <v>495</v>
      </c>
      <c r="B16" s="42">
        <f>AVERAGEIF(tblStudyData[Student_Name],B8,tblStudyData[Test_Score])</f>
        <v>79.09375</v>
      </c>
      <c r="D16" s="41" t="str">
        <v>Computer Science</v>
      </c>
      <c r="E16" s="41">
        <f>SUMIFS(tblStudyData[Actual_Study_Hours],tblStudyData[Student_Name],$B$8,tblStudyData[Subject],D16)</f>
        <v>7.4</v>
      </c>
      <c r="F16" s="42">
        <f>AVERAGEIFS(tblStudyData[Test_Score],tblStudyData[Student_Name],$B$8,tblStudyData[Subject],D16)</f>
        <v>85</v>
      </c>
      <c r="G16" s="43">
        <f>AVERAGEIFS(tblStudyData[Attendance_Percentage],tblStudyData[Student_Name],$B$8,tblStudyData[Subject],D16)</f>
        <v>0.84750000000000003</v>
      </c>
      <c r="H16" s="43"/>
      <c r="I16" s="41" t="str">
        <f t="shared" si="0"/>
        <v>Excellent</v>
      </c>
      <c r="CL16" t="s">
        <v>328</v>
      </c>
      <c r="CM16" s="27">
        <v>46263</v>
      </c>
      <c r="CN16" t="s">
        <v>71</v>
      </c>
      <c r="CO16" t="s">
        <v>81</v>
      </c>
      <c r="CP16" t="s">
        <v>36</v>
      </c>
      <c r="CQ16">
        <v>9</v>
      </c>
      <c r="CR16" t="s">
        <v>39</v>
      </c>
      <c r="CS16" t="s">
        <v>42</v>
      </c>
      <c r="CT16" t="s">
        <v>113</v>
      </c>
      <c r="CU16" t="s">
        <v>50</v>
      </c>
      <c r="CV16">
        <v>2</v>
      </c>
      <c r="CW16">
        <v>1.2</v>
      </c>
      <c r="CX16" t="s">
        <v>52</v>
      </c>
      <c r="CY16" t="s">
        <v>420</v>
      </c>
      <c r="CZ16">
        <v>78</v>
      </c>
      <c r="DA16" t="s">
        <v>412</v>
      </c>
      <c r="DB16">
        <v>0</v>
      </c>
      <c r="DC16" t="s">
        <v>56</v>
      </c>
      <c r="DD16" t="s">
        <v>90</v>
      </c>
      <c r="DE16" t="s">
        <v>65</v>
      </c>
      <c r="DF16" t="s">
        <v>413</v>
      </c>
      <c r="DG16">
        <v>35</v>
      </c>
    </row>
    <row r="17" spans="1:111" x14ac:dyDescent="0.3">
      <c r="A17" s="41" t="s">
        <v>452</v>
      </c>
      <c r="B17" s="43">
        <f>AVERAGEIF(tblStudyData[Student_Name],B8,tblStudyData[Attendance_Percentage])</f>
        <v>0.90656250000000016</v>
      </c>
      <c r="D17" s="41" t="str">
        <v>Biology</v>
      </c>
      <c r="E17" s="41">
        <f>SUMIFS(tblStudyData[Actual_Study_Hours],tblStudyData[Student_Name],$B$8,tblStudyData[Subject],D17)</f>
        <v>13.299999999999999</v>
      </c>
      <c r="F17" s="42">
        <f>AVERAGEIFS(tblStudyData[Test_Score],tblStudyData[Student_Name],$B$8,tblStudyData[Subject],D17)</f>
        <v>82</v>
      </c>
      <c r="G17" s="43">
        <f>AVERAGEIFS(tblStudyData[Attendance_Percentage],tblStudyData[Student_Name],$B$8,tblStudyData[Subject],D17)</f>
        <v>0.92166666666666652</v>
      </c>
      <c r="H17" s="43"/>
      <c r="I17" s="41" t="str">
        <f t="shared" si="0"/>
        <v>Excellent</v>
      </c>
      <c r="CL17" t="s">
        <v>127</v>
      </c>
      <c r="CM17" s="27">
        <v>46252</v>
      </c>
      <c r="CN17" t="s">
        <v>29</v>
      </c>
      <c r="CO17" t="s">
        <v>34</v>
      </c>
      <c r="CP17" t="s">
        <v>37</v>
      </c>
      <c r="CQ17">
        <v>0</v>
      </c>
      <c r="CR17" t="s">
        <v>39</v>
      </c>
      <c r="CS17" t="s">
        <v>42</v>
      </c>
      <c r="CT17" t="s">
        <v>113</v>
      </c>
      <c r="CU17" t="s">
        <v>88</v>
      </c>
      <c r="CV17">
        <v>4</v>
      </c>
      <c r="CW17">
        <v>4</v>
      </c>
      <c r="CX17" t="s">
        <v>52</v>
      </c>
      <c r="CY17" t="s">
        <v>420</v>
      </c>
      <c r="CZ17">
        <v>76</v>
      </c>
      <c r="DA17" t="s">
        <v>53</v>
      </c>
      <c r="DB17">
        <v>1</v>
      </c>
      <c r="DC17" t="s">
        <v>54</v>
      </c>
      <c r="DD17" t="s">
        <v>57</v>
      </c>
      <c r="DE17" t="s">
        <v>65</v>
      </c>
      <c r="DF17" t="s">
        <v>411</v>
      </c>
      <c r="DG17">
        <v>34</v>
      </c>
    </row>
    <row r="18" spans="1:111" x14ac:dyDescent="0.3">
      <c r="CL18" t="s">
        <v>327</v>
      </c>
      <c r="CM18" s="27">
        <v>46256</v>
      </c>
      <c r="CN18" t="s">
        <v>66</v>
      </c>
      <c r="CO18" t="s">
        <v>76</v>
      </c>
      <c r="CP18" t="s">
        <v>37</v>
      </c>
      <c r="CQ18">
        <v>11</v>
      </c>
      <c r="CR18" t="s">
        <v>38</v>
      </c>
      <c r="CS18" t="s">
        <v>42</v>
      </c>
      <c r="CT18" t="s">
        <v>113</v>
      </c>
      <c r="CU18" t="s">
        <v>88</v>
      </c>
      <c r="CV18">
        <v>4</v>
      </c>
      <c r="CW18">
        <v>2.6</v>
      </c>
      <c r="CX18" t="s">
        <v>52</v>
      </c>
      <c r="CY18" t="s">
        <v>420</v>
      </c>
      <c r="CZ18">
        <v>61</v>
      </c>
      <c r="DA18" t="s">
        <v>409</v>
      </c>
      <c r="DB18">
        <v>0.8</v>
      </c>
      <c r="DC18" t="s">
        <v>56</v>
      </c>
      <c r="DD18" t="s">
        <v>57</v>
      </c>
      <c r="DE18" t="s">
        <v>65</v>
      </c>
      <c r="DF18" t="s">
        <v>413</v>
      </c>
      <c r="DG18">
        <v>34</v>
      </c>
    </row>
    <row r="19" spans="1:111" ht="18" x14ac:dyDescent="0.35">
      <c r="A19" s="97" t="s">
        <v>508</v>
      </c>
      <c r="B19" s="97"/>
      <c r="C19" s="97"/>
      <c r="D19" s="97"/>
      <c r="E19" s="97"/>
      <c r="H19" s="97" t="s">
        <v>498</v>
      </c>
      <c r="I19" s="97"/>
      <c r="J19" s="97"/>
      <c r="K19" s="97"/>
      <c r="L19" s="97"/>
      <c r="M19" s="97"/>
      <c r="CL19" t="s">
        <v>322</v>
      </c>
      <c r="CM19" s="27">
        <v>46260</v>
      </c>
      <c r="CN19" t="s">
        <v>28</v>
      </c>
      <c r="CO19" t="s">
        <v>33</v>
      </c>
      <c r="CP19" t="s">
        <v>36</v>
      </c>
      <c r="CQ19">
        <v>11</v>
      </c>
      <c r="CR19" t="s">
        <v>39</v>
      </c>
      <c r="CS19" t="s">
        <v>42</v>
      </c>
      <c r="CT19" t="s">
        <v>113</v>
      </c>
      <c r="CU19" t="s">
        <v>51</v>
      </c>
      <c r="CV19">
        <v>2</v>
      </c>
      <c r="CW19">
        <v>1.5</v>
      </c>
      <c r="CX19" t="s">
        <v>52</v>
      </c>
      <c r="CY19" t="s">
        <v>420</v>
      </c>
      <c r="CZ19">
        <v>68</v>
      </c>
      <c r="DA19" t="s">
        <v>412</v>
      </c>
      <c r="DB19">
        <v>0.78</v>
      </c>
      <c r="DC19" t="s">
        <v>54</v>
      </c>
      <c r="DD19" t="s">
        <v>59</v>
      </c>
      <c r="DE19" t="s">
        <v>65</v>
      </c>
      <c r="DF19" t="s">
        <v>413</v>
      </c>
      <c r="DG19">
        <v>35</v>
      </c>
    </row>
    <row r="20" spans="1:111" x14ac:dyDescent="0.3">
      <c r="A20" s="44" t="s">
        <v>7</v>
      </c>
      <c r="B20" s="44" t="s">
        <v>496</v>
      </c>
      <c r="C20" s="44" t="s">
        <v>497</v>
      </c>
      <c r="D20" s="44" t="s">
        <v>452</v>
      </c>
      <c r="E20" s="44" t="s">
        <v>94</v>
      </c>
      <c r="H20" s="41" t="s">
        <v>499</v>
      </c>
      <c r="I20" s="41" t="s">
        <v>496</v>
      </c>
      <c r="J20" s="41" t="s">
        <v>497</v>
      </c>
      <c r="K20" s="41" t="s">
        <v>454</v>
      </c>
      <c r="L20" s="41" t="s">
        <v>500</v>
      </c>
      <c r="M20" s="41" t="s">
        <v>456</v>
      </c>
      <c r="CL20" t="s">
        <v>303</v>
      </c>
      <c r="CM20" s="27">
        <v>46249</v>
      </c>
      <c r="CN20" t="s">
        <v>68</v>
      </c>
      <c r="CO20" t="s">
        <v>78</v>
      </c>
      <c r="CP20" t="s">
        <v>37</v>
      </c>
      <c r="CQ20">
        <v>12</v>
      </c>
      <c r="CR20" t="s">
        <v>39</v>
      </c>
      <c r="CS20" t="s">
        <v>42</v>
      </c>
      <c r="CT20" t="s">
        <v>113</v>
      </c>
      <c r="CU20" t="s">
        <v>49</v>
      </c>
      <c r="CV20">
        <v>4</v>
      </c>
      <c r="CW20">
        <v>3.8</v>
      </c>
      <c r="CX20" t="s">
        <v>52</v>
      </c>
      <c r="CY20" t="s">
        <v>420</v>
      </c>
      <c r="CZ20">
        <v>77</v>
      </c>
      <c r="DA20" t="s">
        <v>409</v>
      </c>
      <c r="DB20">
        <v>0.8</v>
      </c>
      <c r="DC20" t="s">
        <v>54</v>
      </c>
      <c r="DD20" t="s">
        <v>59</v>
      </c>
      <c r="DE20" t="s">
        <v>65</v>
      </c>
      <c r="DF20" t="s">
        <v>411</v>
      </c>
      <c r="DG20">
        <v>33</v>
      </c>
    </row>
    <row r="21" spans="1:111" x14ac:dyDescent="0.3">
      <c r="A21" s="44" t="str" cm="1">
        <f t="array" ref="A21:A26">tblSubjects[Subjects]</f>
        <v>Mathematics</v>
      </c>
      <c r="B21" s="42">
        <f>SUMIF(tblStudyData[Subject],A21,tblStudyData[Actual_Study_Hours])</f>
        <v>108.6</v>
      </c>
      <c r="C21" s="45">
        <f>AVERAGEIF(tblStudyData[Subject],A21,tblStudyData[Actual_Study_Hours])</f>
        <v>1.9052631578947368</v>
      </c>
      <c r="D21" s="46">
        <f>AVERAGEIF(tblStudyData[Subject],A21,tblStudyData[Attendance_Percentage])</f>
        <v>0.90298245614035089</v>
      </c>
      <c r="E21" s="44" cm="1">
        <f t="array" ref="E21">COUNTA(_xlfn.UNIQUE(_xlfn._xlws.FILTER(tblStudyData[Student_ID],tblStudyData[Subject]=A21)))</f>
        <v>15</v>
      </c>
      <c r="H21" s="41" cm="1">
        <f t="array" ref="H21:H25">_xlfn._xlws.SORT(_xlfn.UNIQUE(tblStudyData[Week_No]))</f>
        <v>31</v>
      </c>
      <c r="I21" s="42">
        <f>SUMIF(tblStudyData[Week_No],H21,tblStudyData[Actual_Study_Hours])</f>
        <v>36.200000000000003</v>
      </c>
      <c r="J21" s="42">
        <f>AVERAGEIF(tblStudyData[Week_No],H21,tblStudyData[Test_Score])</f>
        <v>83.45</v>
      </c>
      <c r="K21" s="43">
        <f>AVERAGEIF(tblStudyData[Week_No],H21,tblStudyData[Attendance_Percentage])</f>
        <v>0.93200000000000005</v>
      </c>
      <c r="L21" s="42">
        <f>COUNTIFS(tblStudyData[Week_No],H21,tblStudyData[Assignment_Given],"Yes",tblStudyData[Assignment_Completed],"Yes")/COUNTIFS(tblStudyData[Week_No],H21,tblStudyData[Assignment_Given],"Yes")</f>
        <v>1</v>
      </c>
      <c r="M21" s="41" t="str">
        <f>IF(J21&gt;=80,"Excellent",IF(J21&gt;=60,"Good",IF(J21&gt;=40,"Average","Poor")))</f>
        <v>Excellent</v>
      </c>
      <c r="CL21" t="s">
        <v>131</v>
      </c>
      <c r="CM21" s="27">
        <v>46237</v>
      </c>
      <c r="CN21" t="s">
        <v>29</v>
      </c>
      <c r="CO21" t="s">
        <v>34</v>
      </c>
      <c r="CP21" t="s">
        <v>37</v>
      </c>
      <c r="CQ21">
        <v>0</v>
      </c>
      <c r="CR21" t="s">
        <v>39</v>
      </c>
      <c r="CS21" t="s">
        <v>42</v>
      </c>
      <c r="CT21" t="s">
        <v>113</v>
      </c>
      <c r="CU21" t="s">
        <v>50</v>
      </c>
      <c r="CV21">
        <v>4</v>
      </c>
      <c r="CW21">
        <v>3.7</v>
      </c>
      <c r="CX21" t="s">
        <v>52</v>
      </c>
      <c r="CY21" t="s">
        <v>420</v>
      </c>
      <c r="CZ21">
        <v>91</v>
      </c>
      <c r="DA21" t="s">
        <v>412</v>
      </c>
      <c r="DB21">
        <v>0</v>
      </c>
      <c r="DC21" t="s">
        <v>55</v>
      </c>
      <c r="DD21" t="s">
        <v>57</v>
      </c>
      <c r="DE21" t="s">
        <v>65</v>
      </c>
      <c r="DF21" t="s">
        <v>413</v>
      </c>
      <c r="DG21">
        <v>32</v>
      </c>
    </row>
    <row r="22" spans="1:111" x14ac:dyDescent="0.3">
      <c r="A22" s="44" t="str">
        <v>Physics</v>
      </c>
      <c r="B22" s="45">
        <f>SUMIF(tblStudyData[Subject],A22,tblStudyData[Actual_Study_Hours])</f>
        <v>123.7</v>
      </c>
      <c r="C22" s="45">
        <f>AVERAGEIF(tblStudyData[Subject],A22,tblStudyData[Actual_Study_Hours])</f>
        <v>2.0616666666666665</v>
      </c>
      <c r="D22" s="46">
        <f>AVERAGEIF(tblStudyData[Subject],A22,tblStudyData[Attendance_Percentage])</f>
        <v>0.89283333333333348</v>
      </c>
      <c r="E22" s="44" cm="1">
        <f t="array" ref="E22">COUNTA(_xlfn.UNIQUE(_xlfn._xlws.FILTER(tblStudyData[Student_ID],tblStudyData[Subject]=A22)))</f>
        <v>15</v>
      </c>
      <c r="H22" s="41">
        <v>32</v>
      </c>
      <c r="I22" s="42">
        <f>SUMIF(tblStudyData[Week_No],H22,tblStudyData[Actual_Study_Hours])</f>
        <v>116.5</v>
      </c>
      <c r="J22" s="42">
        <f>AVERAGEIF(tblStudyData[Week_No],H22,tblStudyData[Test_Score])</f>
        <v>80.93442622950819</v>
      </c>
      <c r="K22" s="43">
        <f>AVERAGEIF(tblStudyData[Week_No],H22,tblStudyData[Attendance_Percentage])</f>
        <v>0.89508196721311439</v>
      </c>
      <c r="L22" s="42">
        <f>COUNTIFS(tblStudyData[Week_No],H22,tblStudyData[Assignment_Given],"Yes",tblStudyData[Assignment_Completed],"Yes")/COUNTIFS(tblStudyData[Week_No],H22,tblStudyData[Assignment_Given],"Yes")</f>
        <v>0.98333333333333328</v>
      </c>
      <c r="M22" s="41" t="str">
        <f t="shared" ref="M22:M25" si="1">IF(J22&gt;=80,"Excellent",IF(J22&gt;=60,"Good",IF(J22&gt;=40,"Average","Poor")))</f>
        <v>Excellent</v>
      </c>
      <c r="CL22" t="s">
        <v>290</v>
      </c>
      <c r="CM22" s="27">
        <v>46256</v>
      </c>
      <c r="CN22" t="s">
        <v>68</v>
      </c>
      <c r="CO22" t="s">
        <v>78</v>
      </c>
      <c r="CP22" t="s">
        <v>37</v>
      </c>
      <c r="CQ22">
        <v>12</v>
      </c>
      <c r="CR22" t="s">
        <v>39</v>
      </c>
      <c r="CS22" t="s">
        <v>42</v>
      </c>
      <c r="CT22" t="s">
        <v>113</v>
      </c>
      <c r="CU22" t="s">
        <v>50</v>
      </c>
      <c r="CV22">
        <v>4</v>
      </c>
      <c r="CW22">
        <v>2.5</v>
      </c>
      <c r="CX22" t="s">
        <v>52</v>
      </c>
      <c r="CY22" t="s">
        <v>420</v>
      </c>
      <c r="CZ22">
        <v>88</v>
      </c>
      <c r="DA22" t="s">
        <v>412</v>
      </c>
      <c r="DB22">
        <v>1</v>
      </c>
      <c r="DC22" t="s">
        <v>54</v>
      </c>
      <c r="DD22" t="s">
        <v>90</v>
      </c>
      <c r="DE22" t="s">
        <v>65</v>
      </c>
      <c r="DF22" t="s">
        <v>413</v>
      </c>
      <c r="DG22">
        <v>34</v>
      </c>
    </row>
    <row r="23" spans="1:111" x14ac:dyDescent="0.3">
      <c r="A23" s="44" t="str">
        <v>Chemistry</v>
      </c>
      <c r="B23" s="45">
        <f>SUMIF(tblStudyData[Subject],A23,tblStudyData[Actual_Study_Hours])</f>
        <v>111.20000000000003</v>
      </c>
      <c r="C23" s="45">
        <f>AVERAGEIF(tblStudyData[Subject],A23,tblStudyData[Actual_Study_Hours])</f>
        <v>2.2240000000000006</v>
      </c>
      <c r="D23" s="46">
        <f>AVERAGEIF(tblStudyData[Subject],A23,tblStudyData[Attendance_Percentage])</f>
        <v>0.89920000000000011</v>
      </c>
      <c r="E23" s="44" cm="1">
        <f t="array" ref="E23">COUNTA(_xlfn.UNIQUE(_xlfn._xlws.FILTER(tblStudyData[Student_ID],tblStudyData[Subject]=A23)))</f>
        <v>15</v>
      </c>
      <c r="H23" s="41">
        <v>33</v>
      </c>
      <c r="I23" s="42">
        <f>SUMIF(tblStudyData[Week_No],H23,tblStudyData[Actual_Study_Hours])</f>
        <v>132.70000000000002</v>
      </c>
      <c r="J23" s="42">
        <f>AVERAGEIF(tblStudyData[Week_No],H23,tblStudyData[Test_Score])</f>
        <v>81.349206349206355</v>
      </c>
      <c r="K23" s="43">
        <f>AVERAGEIF(tblStudyData[Week_No],H23,tblStudyData[Attendance_Percentage])</f>
        <v>0.88317460317460328</v>
      </c>
      <c r="L23" s="42">
        <f>COUNTIFS(tblStudyData[Week_No],H23,tblStudyData[Assignment_Given],"Yes",tblStudyData[Assignment_Completed],"Yes")/COUNTIFS(tblStudyData[Week_No],H23,tblStudyData[Assignment_Given],"Yes")</f>
        <v>0.91935483870967738</v>
      </c>
      <c r="M23" s="41" t="str">
        <f t="shared" si="1"/>
        <v>Excellent</v>
      </c>
      <c r="CL23" t="s">
        <v>288</v>
      </c>
      <c r="CM23" s="27">
        <v>46259</v>
      </c>
      <c r="CN23" t="s">
        <v>26</v>
      </c>
      <c r="CO23" t="s">
        <v>31</v>
      </c>
      <c r="CP23" t="s">
        <v>36</v>
      </c>
      <c r="CQ23">
        <v>10</v>
      </c>
      <c r="CR23" t="s">
        <v>38</v>
      </c>
      <c r="CS23" t="s">
        <v>42</v>
      </c>
      <c r="CT23" t="s">
        <v>113</v>
      </c>
      <c r="CU23" t="s">
        <v>50</v>
      </c>
      <c r="CV23">
        <v>3</v>
      </c>
      <c r="CW23">
        <v>2</v>
      </c>
      <c r="CX23" t="s">
        <v>52</v>
      </c>
      <c r="CY23" t="s">
        <v>420</v>
      </c>
      <c r="CZ23">
        <v>86</v>
      </c>
      <c r="DA23" t="s">
        <v>409</v>
      </c>
      <c r="DB23">
        <v>0.8</v>
      </c>
      <c r="DC23" t="s">
        <v>54</v>
      </c>
      <c r="DD23" t="s">
        <v>90</v>
      </c>
      <c r="DE23" t="s">
        <v>65</v>
      </c>
      <c r="DF23" t="s">
        <v>411</v>
      </c>
      <c r="DG23">
        <v>35</v>
      </c>
    </row>
    <row r="24" spans="1:111" x14ac:dyDescent="0.3">
      <c r="A24" s="44" t="str">
        <v>English</v>
      </c>
      <c r="B24" s="45">
        <f>SUMIF(tblStudyData[Subject],A24,tblStudyData[Actual_Study_Hours])</f>
        <v>131.70000000000002</v>
      </c>
      <c r="C24" s="45">
        <f>AVERAGEIF(tblStudyData[Subject],A24,tblStudyData[Actual_Study_Hours])</f>
        <v>1.9367647058823532</v>
      </c>
      <c r="D24" s="46">
        <f>AVERAGEIF(tblStudyData[Subject],A24,tblStudyData[Attendance_Percentage])</f>
        <v>0.88911764705882346</v>
      </c>
      <c r="E24" s="44" cm="1">
        <f t="array" ref="E24">COUNTA(_xlfn.UNIQUE(_xlfn._xlws.FILTER(tblStudyData[Student_ID],tblStudyData[Subject]=A24)))</f>
        <v>15</v>
      </c>
      <c r="H24" s="41">
        <v>34</v>
      </c>
      <c r="I24" s="42">
        <f>SUMIF(tblStudyData[Week_No],H24,tblStudyData[Actual_Study_Hours])</f>
        <v>201.50000000000003</v>
      </c>
      <c r="J24" s="42">
        <f>AVERAGEIF(tblStudyData[Week_No],H24,tblStudyData[Test_Score])</f>
        <v>79.055555555555557</v>
      </c>
      <c r="K24" s="43">
        <f>AVERAGEIF(tblStudyData[Week_No],H24,tblStudyData[Attendance_Percentage])</f>
        <v>0.90033333333333321</v>
      </c>
      <c r="L24" s="42">
        <f>COUNTIFS(tblStudyData[Week_No],H24,tblStudyData[Assignment_Given],"Yes",tblStudyData[Assignment_Completed],"Yes")/COUNTIFS(tblStudyData[Week_No],H24,tblStudyData[Assignment_Given],"Yes")</f>
        <v>0.96666666666666667</v>
      </c>
      <c r="M24" s="41" t="str">
        <f t="shared" si="1"/>
        <v>Good</v>
      </c>
      <c r="CL24" t="s">
        <v>134</v>
      </c>
      <c r="CM24" s="27">
        <v>46256</v>
      </c>
      <c r="CN24" t="s">
        <v>30</v>
      </c>
      <c r="CO24" t="s">
        <v>35</v>
      </c>
      <c r="CP24" t="s">
        <v>36</v>
      </c>
      <c r="CQ24">
        <v>12</v>
      </c>
      <c r="CR24" t="s">
        <v>38</v>
      </c>
      <c r="CS24" t="s">
        <v>42</v>
      </c>
      <c r="CT24" t="s">
        <v>113</v>
      </c>
      <c r="CU24" t="s">
        <v>50</v>
      </c>
      <c r="CV24">
        <v>1</v>
      </c>
      <c r="CW24">
        <v>0.6</v>
      </c>
      <c r="CX24" t="s">
        <v>52</v>
      </c>
      <c r="CY24" t="s">
        <v>420</v>
      </c>
      <c r="CZ24">
        <v>84</v>
      </c>
      <c r="DA24" t="s">
        <v>412</v>
      </c>
      <c r="DB24">
        <v>0</v>
      </c>
      <c r="DC24" t="s">
        <v>56</v>
      </c>
      <c r="DD24" t="s">
        <v>90</v>
      </c>
      <c r="DE24" t="s">
        <v>65</v>
      </c>
      <c r="DF24" t="s">
        <v>413</v>
      </c>
      <c r="DG24">
        <v>34</v>
      </c>
    </row>
    <row r="25" spans="1:111" x14ac:dyDescent="0.3">
      <c r="A25" s="44" t="str">
        <v>Computer Science</v>
      </c>
      <c r="B25" s="45">
        <f>SUMIF(tblStudyData[Subject],A25,tblStudyData[Actual_Study_Hours])</f>
        <v>63.29999999999999</v>
      </c>
      <c r="C25" s="45">
        <f>AVERAGEIF(tblStudyData[Subject],A25,tblStudyData[Actual_Study_Hours])</f>
        <v>2.182758620689655</v>
      </c>
      <c r="D25" s="46">
        <f>AVERAGEIF(tblStudyData[Subject],A25,tblStudyData[Attendance_Percentage])</f>
        <v>0.90517241379310343</v>
      </c>
      <c r="E25" s="44" cm="1">
        <f t="array" ref="E25">COUNTA(_xlfn.UNIQUE(_xlfn._xlws.FILTER(tblStudyData[Student_ID],tblStudyData[Subject]=A25)))</f>
        <v>15</v>
      </c>
      <c r="H25" s="41">
        <v>35</v>
      </c>
      <c r="I25" s="42">
        <f>SUMIF(tblStudyData[Week_No],H25,tblStudyData[Actual_Study_Hours])</f>
        <v>133.69999999999999</v>
      </c>
      <c r="J25" s="42">
        <f>AVERAGEIF(tblStudyData[Week_No],H25,tblStudyData[Test_Score])</f>
        <v>80.242424242424249</v>
      </c>
      <c r="K25" s="43">
        <f>AVERAGEIF(tblStudyData[Week_No],H25,tblStudyData[Attendance_Percentage])</f>
        <v>0.89848484848484822</v>
      </c>
      <c r="L25" s="42">
        <f>COUNTIFS(tblStudyData[Week_No],H25,tblStudyData[Assignment_Given],"Yes",tblStudyData[Assignment_Completed],"Yes")/COUNTIFS(tblStudyData[Week_No],H25,tblStudyData[Assignment_Given],"Yes")</f>
        <v>0.96923076923076923</v>
      </c>
      <c r="M25" s="41" t="str">
        <f t="shared" si="1"/>
        <v>Excellent</v>
      </c>
      <c r="CL25" t="s">
        <v>268</v>
      </c>
      <c r="CM25" s="27">
        <v>46252</v>
      </c>
      <c r="CN25" t="s">
        <v>75</v>
      </c>
      <c r="CO25" t="s">
        <v>85</v>
      </c>
      <c r="CP25" t="s">
        <v>36</v>
      </c>
      <c r="CQ25">
        <v>9</v>
      </c>
      <c r="CR25" t="s">
        <v>38</v>
      </c>
      <c r="CS25" t="s">
        <v>42</v>
      </c>
      <c r="CT25" t="s">
        <v>113</v>
      </c>
      <c r="CU25" t="s">
        <v>88</v>
      </c>
      <c r="CV25">
        <v>4</v>
      </c>
      <c r="CW25">
        <v>3.2</v>
      </c>
      <c r="CX25" t="s">
        <v>52</v>
      </c>
      <c r="CY25" t="s">
        <v>420</v>
      </c>
      <c r="CZ25">
        <v>94</v>
      </c>
      <c r="DA25" t="s">
        <v>412</v>
      </c>
      <c r="DB25">
        <v>0</v>
      </c>
      <c r="DC25" t="s">
        <v>54</v>
      </c>
      <c r="DD25" t="s">
        <v>58</v>
      </c>
      <c r="DE25" t="s">
        <v>65</v>
      </c>
      <c r="DF25" t="s">
        <v>413</v>
      </c>
      <c r="DG25">
        <v>34</v>
      </c>
    </row>
    <row r="26" spans="1:111" x14ac:dyDescent="0.3">
      <c r="A26" s="44" t="str">
        <v>Biology</v>
      </c>
      <c r="B26" s="45">
        <f>SUMIF(tblStudyData[Subject],A26,tblStudyData[Actual_Study_Hours])</f>
        <v>82.1</v>
      </c>
      <c r="C26" s="45">
        <f>AVERAGEIF(tblStudyData[Subject],A26,tblStudyData[Actual_Study_Hours])</f>
        <v>2.2805555555555554</v>
      </c>
      <c r="D26" s="46">
        <f>AVERAGEIF(tblStudyData[Subject],A26,tblStudyData[Attendance_Percentage])</f>
        <v>0.90277777777777779</v>
      </c>
      <c r="E26" s="44" cm="1">
        <f t="array" ref="E26">COUNTA(_xlfn.UNIQUE(_xlfn._xlws.FILTER(tblStudyData[Student_ID],tblStudyData[Subject]=A26)))</f>
        <v>15</v>
      </c>
      <c r="CL26" t="s">
        <v>266</v>
      </c>
      <c r="CM26" s="27">
        <v>46235</v>
      </c>
      <c r="CN26" t="s">
        <v>75</v>
      </c>
      <c r="CO26" t="s">
        <v>85</v>
      </c>
      <c r="CP26" t="s">
        <v>36</v>
      </c>
      <c r="CQ26">
        <v>9</v>
      </c>
      <c r="CR26" t="s">
        <v>38</v>
      </c>
      <c r="CS26" t="s">
        <v>42</v>
      </c>
      <c r="CT26" t="s">
        <v>113</v>
      </c>
      <c r="CU26" t="s">
        <v>51</v>
      </c>
      <c r="CV26">
        <v>3</v>
      </c>
      <c r="CW26">
        <v>3</v>
      </c>
      <c r="CX26" t="s">
        <v>52</v>
      </c>
      <c r="CY26" t="s">
        <v>420</v>
      </c>
      <c r="CZ26">
        <v>86</v>
      </c>
      <c r="DA26" t="s">
        <v>412</v>
      </c>
      <c r="DB26">
        <v>0</v>
      </c>
      <c r="DC26" t="s">
        <v>56</v>
      </c>
      <c r="DD26" t="s">
        <v>59</v>
      </c>
      <c r="DE26" t="s">
        <v>65</v>
      </c>
      <c r="DF26" t="s">
        <v>413</v>
      </c>
      <c r="DG26">
        <v>31</v>
      </c>
    </row>
    <row r="27" spans="1:111" x14ac:dyDescent="0.3">
      <c r="CL27" t="s">
        <v>251</v>
      </c>
      <c r="CM27" s="27">
        <v>46258</v>
      </c>
      <c r="CN27" t="s">
        <v>69</v>
      </c>
      <c r="CO27" t="s">
        <v>79</v>
      </c>
      <c r="CP27" t="s">
        <v>36</v>
      </c>
      <c r="CQ27">
        <v>10</v>
      </c>
      <c r="CR27" t="s">
        <v>39</v>
      </c>
      <c r="CS27" t="s">
        <v>42</v>
      </c>
      <c r="CT27" t="s">
        <v>113</v>
      </c>
      <c r="CU27" t="s">
        <v>88</v>
      </c>
      <c r="CV27">
        <v>1</v>
      </c>
      <c r="CW27">
        <v>1</v>
      </c>
      <c r="CX27" t="s">
        <v>52</v>
      </c>
      <c r="CY27" t="s">
        <v>420</v>
      </c>
      <c r="CZ27">
        <v>85</v>
      </c>
      <c r="DA27" t="s">
        <v>412</v>
      </c>
      <c r="DB27">
        <v>0</v>
      </c>
      <c r="DC27" t="s">
        <v>54</v>
      </c>
      <c r="DD27" t="s">
        <v>59</v>
      </c>
      <c r="DE27" t="s">
        <v>65</v>
      </c>
      <c r="DF27" t="s">
        <v>413</v>
      </c>
      <c r="DG27">
        <v>35</v>
      </c>
    </row>
    <row r="28" spans="1:111" x14ac:dyDescent="0.3">
      <c r="CL28" t="s">
        <v>248</v>
      </c>
      <c r="CM28" s="27">
        <v>46238</v>
      </c>
      <c r="CN28" t="s">
        <v>66</v>
      </c>
      <c r="CO28" t="s">
        <v>76</v>
      </c>
      <c r="CP28" t="s">
        <v>37</v>
      </c>
      <c r="CQ28">
        <v>11</v>
      </c>
      <c r="CR28" t="s">
        <v>38</v>
      </c>
      <c r="CS28" t="s">
        <v>42</v>
      </c>
      <c r="CT28" t="s">
        <v>113</v>
      </c>
      <c r="CU28" t="s">
        <v>88</v>
      </c>
      <c r="CV28">
        <v>4</v>
      </c>
      <c r="CW28">
        <v>3.3</v>
      </c>
      <c r="CX28" t="s">
        <v>52</v>
      </c>
      <c r="CY28" t="s">
        <v>420</v>
      </c>
      <c r="CZ28">
        <v>95</v>
      </c>
      <c r="DA28" t="s">
        <v>53</v>
      </c>
      <c r="DB28">
        <v>1</v>
      </c>
      <c r="DC28" t="s">
        <v>56</v>
      </c>
      <c r="DD28" t="s">
        <v>60</v>
      </c>
      <c r="DE28" t="s">
        <v>65</v>
      </c>
      <c r="DF28" t="s">
        <v>414</v>
      </c>
      <c r="DG28">
        <v>32</v>
      </c>
    </row>
    <row r="29" spans="1:111" ht="18" x14ac:dyDescent="0.35">
      <c r="A29" s="97" t="s">
        <v>501</v>
      </c>
      <c r="B29" s="97"/>
      <c r="C29" s="97"/>
      <c r="D29" s="97"/>
      <c r="E29" s="97"/>
      <c r="F29" s="97"/>
      <c r="G29" s="97"/>
      <c r="H29" s="40"/>
      <c r="J29" s="97" t="s">
        <v>509</v>
      </c>
      <c r="K29" s="97"/>
      <c r="L29" s="97"/>
      <c r="M29" s="97"/>
      <c r="N29" s="97"/>
      <c r="CL29" t="s">
        <v>239</v>
      </c>
      <c r="CM29" s="27">
        <v>46243</v>
      </c>
      <c r="CN29" t="s">
        <v>68</v>
      </c>
      <c r="CO29" t="s">
        <v>78</v>
      </c>
      <c r="CP29" t="s">
        <v>37</v>
      </c>
      <c r="CQ29">
        <v>12</v>
      </c>
      <c r="CR29" t="s">
        <v>39</v>
      </c>
      <c r="CS29" t="s">
        <v>42</v>
      </c>
      <c r="CT29" t="s">
        <v>113</v>
      </c>
      <c r="CU29" t="s">
        <v>50</v>
      </c>
      <c r="CV29">
        <v>1</v>
      </c>
      <c r="CW29">
        <v>1</v>
      </c>
      <c r="CX29" t="s">
        <v>52</v>
      </c>
      <c r="CY29" t="s">
        <v>420</v>
      </c>
      <c r="CZ29">
        <v>90</v>
      </c>
      <c r="DA29" t="s">
        <v>53</v>
      </c>
      <c r="DB29">
        <v>1</v>
      </c>
      <c r="DC29" t="s">
        <v>54</v>
      </c>
      <c r="DD29" t="s">
        <v>60</v>
      </c>
      <c r="DE29" t="s">
        <v>65</v>
      </c>
      <c r="DF29" t="s">
        <v>414</v>
      </c>
      <c r="DG29">
        <v>32</v>
      </c>
    </row>
    <row r="30" spans="1:111" x14ac:dyDescent="0.3">
      <c r="A30" s="41" t="s">
        <v>502</v>
      </c>
      <c r="B30" s="41" t="s">
        <v>53</v>
      </c>
      <c r="C30" s="41" t="s">
        <v>409</v>
      </c>
      <c r="D30" s="41" t="s">
        <v>412</v>
      </c>
      <c r="E30" s="41" t="s">
        <v>454</v>
      </c>
      <c r="F30" s="41" t="s">
        <v>453</v>
      </c>
      <c r="G30" s="41" t="s">
        <v>503</v>
      </c>
      <c r="J30" s="41" t="s">
        <v>502</v>
      </c>
      <c r="K30" s="41" t="s">
        <v>497</v>
      </c>
      <c r="L30" s="41" t="s">
        <v>454</v>
      </c>
      <c r="M30" s="41" t="s">
        <v>504</v>
      </c>
      <c r="N30" s="41" t="s">
        <v>505</v>
      </c>
      <c r="CL30" t="s">
        <v>235</v>
      </c>
      <c r="CM30" s="27">
        <v>46242</v>
      </c>
      <c r="CN30" t="s">
        <v>72</v>
      </c>
      <c r="CO30" t="s">
        <v>82</v>
      </c>
      <c r="CP30" t="s">
        <v>37</v>
      </c>
      <c r="CQ30">
        <v>12</v>
      </c>
      <c r="CR30" t="s">
        <v>38</v>
      </c>
      <c r="CS30" t="s">
        <v>42</v>
      </c>
      <c r="CT30" t="s">
        <v>113</v>
      </c>
      <c r="CU30" t="s">
        <v>51</v>
      </c>
      <c r="CV30">
        <v>1</v>
      </c>
      <c r="CW30">
        <v>0.7</v>
      </c>
      <c r="CX30" t="s">
        <v>52</v>
      </c>
      <c r="CY30" t="s">
        <v>420</v>
      </c>
      <c r="CZ30">
        <v>74</v>
      </c>
      <c r="DA30" t="s">
        <v>53</v>
      </c>
      <c r="DB30">
        <v>1</v>
      </c>
      <c r="DC30" t="s">
        <v>54</v>
      </c>
      <c r="DD30" t="s">
        <v>59</v>
      </c>
      <c r="DE30" t="s">
        <v>65</v>
      </c>
      <c r="DF30" t="s">
        <v>411</v>
      </c>
      <c r="DG30">
        <v>32</v>
      </c>
    </row>
    <row r="31" spans="1:111" x14ac:dyDescent="0.3">
      <c r="A31" s="41" t="str" cm="1">
        <f t="array" ref="A31:A45">tblStudents[Student_Name]</f>
        <v>Rahul</v>
      </c>
      <c r="B31" s="41">
        <f>COUNTIFS(tblStudyData[Student_Name],A31,tblStudyData[Attendence_Status],"Present")</f>
        <v>5</v>
      </c>
      <c r="C31" s="41">
        <f>COUNTIFS(tblStudyData[Student_Name],A31,tblStudyData[Attendence_Status],"Late")</f>
        <v>7</v>
      </c>
      <c r="D31" s="41">
        <f>COUNTIFS(tblStudyData[Student_Name],A31,tblStudyData[Attendence_Status],"Absent")</f>
        <v>8</v>
      </c>
      <c r="E31" s="43">
        <f>AVERAGEIF(tblStudyData[Student_Name],A31,tblStudyData[Attendance_Percentage])</f>
        <v>0.90399999999999991</v>
      </c>
      <c r="F31" s="41" t="str">
        <f>IF(E31&lt;75%,"At Risk",IF(E31&lt;90%,"Needs Improvement","Good"))</f>
        <v>Good</v>
      </c>
      <c r="G31" s="41" t="str">
        <f t="shared" ref="G31:G45" si="2">IF(E31&lt;75%,"HIGH RISK",IF(E31&lt;90%,"MEDIUM RISK","LOW RISK"))</f>
        <v>LOW RISK</v>
      </c>
      <c r="J31" s="41" t="str" cm="1">
        <f t="array" ref="J31:J45">_xlfn.UNIQUE(_xlfn._xlws.FILTER(tblStudyData[Student_Name],(tblStudyData[Test_Score]&lt;40)+(tblStudyData[Attendance_Percentage]&lt;75)))</f>
        <v>Naveen</v>
      </c>
      <c r="K31" s="42">
        <f>AVERAGEIF(tblStudyData[Student_Name],J31,tblStudyData[Test_Score])</f>
        <v>83.777777777777771</v>
      </c>
      <c r="L31" s="43">
        <f>AVERAGEIF(tblStudyData[Student_Name],J31,tblStudyData[Attendance_Percentage])</f>
        <v>0.86722222222222234</v>
      </c>
      <c r="M31" s="41" t="str">
        <f>IF(AND(K31&lt;40,L31&lt;75%),"Low Score + Low Attendance",IF(K31&lt;40,"Low Score",IF(L31&lt;75%,"Low Attendance","Review")))</f>
        <v>Review</v>
      </c>
      <c r="N31" s="41" t="str">
        <f>IF(AND(K33&lt;40,L33&lt;75%),"Critical",IF(OR(K33&lt;40,L33&lt;75%),"High","Review"))</f>
        <v>Review</v>
      </c>
      <c r="CL31" t="s">
        <v>234</v>
      </c>
      <c r="CM31" s="27">
        <v>46247</v>
      </c>
      <c r="CN31" t="s">
        <v>69</v>
      </c>
      <c r="CO31" t="s">
        <v>79</v>
      </c>
      <c r="CP31" t="s">
        <v>36</v>
      </c>
      <c r="CQ31">
        <v>10</v>
      </c>
      <c r="CR31" t="s">
        <v>39</v>
      </c>
      <c r="CS31" t="s">
        <v>42</v>
      </c>
      <c r="CT31" t="s">
        <v>113</v>
      </c>
      <c r="CU31" t="s">
        <v>88</v>
      </c>
      <c r="CV31">
        <v>1</v>
      </c>
      <c r="CW31">
        <v>1</v>
      </c>
      <c r="CX31" t="s">
        <v>52</v>
      </c>
      <c r="CY31" t="s">
        <v>420</v>
      </c>
      <c r="CZ31">
        <v>88</v>
      </c>
      <c r="DA31" t="s">
        <v>409</v>
      </c>
      <c r="DB31">
        <v>0.8</v>
      </c>
      <c r="DC31" t="s">
        <v>55</v>
      </c>
      <c r="DD31" t="s">
        <v>91</v>
      </c>
      <c r="DE31" t="s">
        <v>65</v>
      </c>
      <c r="DF31" t="s">
        <v>411</v>
      </c>
      <c r="DG31">
        <v>33</v>
      </c>
    </row>
    <row r="32" spans="1:111" x14ac:dyDescent="0.3">
      <c r="A32" s="41" t="str">
        <v>Priya</v>
      </c>
      <c r="B32" s="41">
        <f>COUNTIFS(tblStudyData[Student_Name],A32,tblStudyData[Attendence_Status],"Present")</f>
        <v>5</v>
      </c>
      <c r="C32" s="41">
        <f>COUNTIFS(tblStudyData[Student_Name],A32,tblStudyData[Attendence_Status],"Late")</f>
        <v>3</v>
      </c>
      <c r="D32" s="41">
        <f>COUNTIFS(tblStudyData[Student_Name],A32,tblStudyData[Attendence_Status],"Absent")</f>
        <v>8</v>
      </c>
      <c r="E32" s="43">
        <f>AVERAGEIF(tblStudyData[Student_Name],A32,tblStudyData[Attendance_Percentage])</f>
        <v>0.88312500000000016</v>
      </c>
      <c r="F32" s="41" t="str">
        <f t="shared" ref="F32:F45" si="3">IF(E32&lt;75%,"At Risk",IF(E32&lt;90%,"Needs Improvement","Good"))</f>
        <v>Needs Improvement</v>
      </c>
      <c r="G32" s="41" t="str">
        <f t="shared" si="2"/>
        <v>MEDIUM RISK</v>
      </c>
      <c r="J32" s="41" t="str">
        <v>Neha</v>
      </c>
      <c r="K32" s="42">
        <f>AVERAGEIF(tblStudyData[Student_Name],J32,tblStudyData[Test_Score])</f>
        <v>81.086956521739125</v>
      </c>
      <c r="L32" s="43">
        <f>AVERAGEIF(tblStudyData[Student_Name],J32,tblStudyData[Attendance_Percentage])</f>
        <v>0.93260869565217386</v>
      </c>
      <c r="M32" s="41" t="str">
        <f t="shared" ref="M32:M45" si="4">IF(AND(K32&lt;40,L32&lt;75%),"Low Score + Low Attendance",IF(K32&lt;40,"Low Score",IF(L32&lt;75%,"Low Attendance","Review")))</f>
        <v>Review</v>
      </c>
      <c r="N32" s="41" t="str">
        <f>IF(AND(K33&lt;40,L33&lt;75%),"Critical",IF(OR(K33&lt;40,L33&lt;75%),"High","Review"))</f>
        <v>Review</v>
      </c>
      <c r="CL32" t="s">
        <v>142</v>
      </c>
      <c r="CM32" s="27">
        <v>46236</v>
      </c>
      <c r="CN32" t="s">
        <v>67</v>
      </c>
      <c r="CO32" t="s">
        <v>77</v>
      </c>
      <c r="CP32" t="s">
        <v>36</v>
      </c>
      <c r="CQ32">
        <v>9</v>
      </c>
      <c r="CR32" t="s">
        <v>38</v>
      </c>
      <c r="CS32" t="s">
        <v>42</v>
      </c>
      <c r="CT32" t="s">
        <v>113</v>
      </c>
      <c r="CU32" t="s">
        <v>49</v>
      </c>
      <c r="CV32">
        <v>4</v>
      </c>
      <c r="CW32">
        <v>3.4</v>
      </c>
      <c r="CX32" t="s">
        <v>52</v>
      </c>
      <c r="CY32" t="s">
        <v>420</v>
      </c>
      <c r="CZ32">
        <v>85</v>
      </c>
      <c r="DA32" t="s">
        <v>412</v>
      </c>
      <c r="DB32">
        <v>0</v>
      </c>
      <c r="DC32" t="s">
        <v>54</v>
      </c>
      <c r="DD32" t="s">
        <v>90</v>
      </c>
      <c r="DE32" t="s">
        <v>65</v>
      </c>
      <c r="DF32" t="s">
        <v>413</v>
      </c>
      <c r="DG32">
        <v>31</v>
      </c>
    </row>
    <row r="33" spans="1:111" x14ac:dyDescent="0.3">
      <c r="A33" s="41" t="str">
        <v>Arjun</v>
      </c>
      <c r="B33" s="41">
        <f>COUNTIFS(tblStudyData[Student_Name],A33,tblStudyData[Attendence_Status],"Present")</f>
        <v>10</v>
      </c>
      <c r="C33" s="41">
        <f>COUNTIFS(tblStudyData[Student_Name],A33,tblStudyData[Attendence_Status],"Late")</f>
        <v>2</v>
      </c>
      <c r="D33" s="41">
        <f>COUNTIFS(tblStudyData[Student_Name],A33,tblStudyData[Attendence_Status],"Absent")</f>
        <v>10</v>
      </c>
      <c r="E33" s="43">
        <f>AVERAGEIF(tblStudyData[Student_Name],A33,tblStudyData[Attendance_Percentage])</f>
        <v>0.93909090909090931</v>
      </c>
      <c r="F33" s="41" t="str">
        <f t="shared" si="3"/>
        <v>Good</v>
      </c>
      <c r="G33" s="41" t="str">
        <f t="shared" si="2"/>
        <v>LOW RISK</v>
      </c>
      <c r="J33" s="41" t="str">
        <v>Vikaram</v>
      </c>
      <c r="K33" s="42">
        <f>AVERAGEIF(tblStudyData[Student_Name],J33,tblStudyData[Test_Score])</f>
        <v>81.791666666666671</v>
      </c>
      <c r="L33" s="43">
        <f>AVERAGEIF(tblStudyData[Student_Name],J33,tblStudyData[Attendance_Percentage])</f>
        <v>0.88166666666666682</v>
      </c>
      <c r="M33" s="41" t="str">
        <f t="shared" si="4"/>
        <v>Review</v>
      </c>
      <c r="N33" s="41" t="str">
        <f>IF(AND(K33&lt;40,L33&lt;75%),"Critical",IF(OR(K33&lt;40,L33&lt;75%),"High","Review"))</f>
        <v>Review</v>
      </c>
      <c r="CL33" t="s">
        <v>228</v>
      </c>
      <c r="CM33" s="27">
        <v>46237</v>
      </c>
      <c r="CN33" t="s">
        <v>66</v>
      </c>
      <c r="CO33" t="s">
        <v>76</v>
      </c>
      <c r="CP33" t="s">
        <v>37</v>
      </c>
      <c r="CQ33">
        <v>11</v>
      </c>
      <c r="CR33" t="s">
        <v>38</v>
      </c>
      <c r="CS33" t="s">
        <v>42</v>
      </c>
      <c r="CT33" t="s">
        <v>113</v>
      </c>
      <c r="CU33" t="s">
        <v>49</v>
      </c>
      <c r="CV33">
        <v>1</v>
      </c>
      <c r="CW33">
        <v>0.7</v>
      </c>
      <c r="CX33" t="s">
        <v>52</v>
      </c>
      <c r="CY33" t="s">
        <v>420</v>
      </c>
      <c r="CZ33">
        <v>89</v>
      </c>
      <c r="DA33" t="s">
        <v>412</v>
      </c>
      <c r="DB33">
        <v>0</v>
      </c>
      <c r="DC33" t="s">
        <v>54</v>
      </c>
      <c r="DD33" t="s">
        <v>57</v>
      </c>
      <c r="DE33" t="s">
        <v>65</v>
      </c>
      <c r="DF33" t="s">
        <v>413</v>
      </c>
      <c r="DG33">
        <v>32</v>
      </c>
    </row>
    <row r="34" spans="1:111" x14ac:dyDescent="0.3">
      <c r="A34" s="41" t="str">
        <v>Sneha</v>
      </c>
      <c r="B34" s="41">
        <f>COUNTIFS(tblStudyData[Student_Name],A34,tblStudyData[Attendence_Status],"Present")</f>
        <v>5</v>
      </c>
      <c r="C34" s="41">
        <f>COUNTIFS(tblStudyData[Student_Name],A34,tblStudyData[Attendence_Status],"Late")</f>
        <v>5</v>
      </c>
      <c r="D34" s="41">
        <f>COUNTIFS(tblStudyData[Student_Name],A34,tblStudyData[Attendence_Status],"Absent")</f>
        <v>4</v>
      </c>
      <c r="E34" s="43">
        <f>AVERAGEIF(tblStudyData[Student_Name],A34,tblStudyData[Attendance_Percentage])</f>
        <v>0.89642857142857146</v>
      </c>
      <c r="F34" s="41" t="str">
        <f t="shared" si="3"/>
        <v>Needs Improvement</v>
      </c>
      <c r="G34" s="41" t="str">
        <f t="shared" si="2"/>
        <v>MEDIUM RISK</v>
      </c>
      <c r="J34" s="41" t="str">
        <v>Pooja</v>
      </c>
      <c r="K34" s="42">
        <f>AVERAGEIF(tblStudyData[Student_Name],J34,tblStudyData[Test_Score])</f>
        <v>81.173913043478265</v>
      </c>
      <c r="L34" s="43">
        <f>AVERAGEIF(tblStudyData[Student_Name],J34,tblStudyData[Attendance_Percentage])</f>
        <v>0.9104347826086957</v>
      </c>
      <c r="M34" s="41" t="str">
        <f t="shared" si="4"/>
        <v>Review</v>
      </c>
      <c r="N34" s="41" t="str">
        <f t="shared" ref="N34:N45" si="5">IF(AND(K34&lt;40,L34&lt;75%),"Critical",IF(OR(K34&lt;40,L34&lt;75%),"High","Review"))</f>
        <v>Review</v>
      </c>
      <c r="CL34" t="s">
        <v>144</v>
      </c>
      <c r="CM34" s="27">
        <v>46254</v>
      </c>
      <c r="CN34" t="s">
        <v>29</v>
      </c>
      <c r="CO34" t="s">
        <v>34</v>
      </c>
      <c r="CP34" t="s">
        <v>37</v>
      </c>
      <c r="CQ34">
        <v>0</v>
      </c>
      <c r="CR34" t="s">
        <v>39</v>
      </c>
      <c r="CS34" t="s">
        <v>42</v>
      </c>
      <c r="CT34" t="s">
        <v>113</v>
      </c>
      <c r="CU34" t="s">
        <v>50</v>
      </c>
      <c r="CV34">
        <v>4</v>
      </c>
      <c r="CW34">
        <v>4</v>
      </c>
      <c r="CX34" t="s">
        <v>52</v>
      </c>
      <c r="CY34" t="s">
        <v>420</v>
      </c>
      <c r="CZ34">
        <v>66</v>
      </c>
      <c r="DA34" t="s">
        <v>53</v>
      </c>
      <c r="DB34">
        <v>1</v>
      </c>
      <c r="DC34" t="s">
        <v>55</v>
      </c>
      <c r="DD34" t="s">
        <v>59</v>
      </c>
      <c r="DE34" t="s">
        <v>65</v>
      </c>
      <c r="DF34" t="s">
        <v>414</v>
      </c>
      <c r="DG34">
        <v>34</v>
      </c>
    </row>
    <row r="35" spans="1:111" x14ac:dyDescent="0.3">
      <c r="A35" s="41" t="str">
        <v>Kiran</v>
      </c>
      <c r="B35" s="41">
        <f>COUNTIFS(tblStudyData[Student_Name],A35,tblStudyData[Attendence_Status],"Present")</f>
        <v>6</v>
      </c>
      <c r="C35" s="41">
        <f>COUNTIFS(tblStudyData[Student_Name],A35,tblStudyData[Attendence_Status],"Late")</f>
        <v>6</v>
      </c>
      <c r="D35" s="41">
        <f>COUNTIFS(tblStudyData[Student_Name],A35,tblStudyData[Attendence_Status],"Absent")</f>
        <v>4</v>
      </c>
      <c r="E35" s="43">
        <f>AVERAGEIF(tblStudyData[Student_Name],A35,tblStudyData[Attendance_Percentage])</f>
        <v>0.88124999999999998</v>
      </c>
      <c r="F35" s="41" t="str">
        <f t="shared" si="3"/>
        <v>Needs Improvement</v>
      </c>
      <c r="G35" s="41" t="str">
        <f t="shared" si="2"/>
        <v>MEDIUM RISK</v>
      </c>
      <c r="J35" s="41" t="str">
        <v>Rahul</v>
      </c>
      <c r="K35" s="42">
        <f>AVERAGEIF(tblStudyData[Student_Name],J35,tblStudyData[Test_Score])</f>
        <v>79.5</v>
      </c>
      <c r="L35" s="43">
        <f>AVERAGEIF(tblStudyData[Student_Name],J35,tblStudyData[Attendance_Percentage])</f>
        <v>0.90399999999999991</v>
      </c>
      <c r="M35" s="41" t="str">
        <f t="shared" si="4"/>
        <v>Review</v>
      </c>
      <c r="N35" s="41" t="str">
        <f t="shared" si="5"/>
        <v>Review</v>
      </c>
      <c r="CL35" t="s">
        <v>145</v>
      </c>
      <c r="CM35" s="27">
        <v>46253</v>
      </c>
      <c r="CN35" t="s">
        <v>30</v>
      </c>
      <c r="CO35" t="s">
        <v>35</v>
      </c>
      <c r="CP35" t="s">
        <v>36</v>
      </c>
      <c r="CQ35">
        <v>12</v>
      </c>
      <c r="CR35" t="s">
        <v>38</v>
      </c>
      <c r="CS35" t="s">
        <v>42</v>
      </c>
      <c r="CT35" t="s">
        <v>113</v>
      </c>
      <c r="CU35" t="s">
        <v>49</v>
      </c>
      <c r="CV35">
        <v>4</v>
      </c>
      <c r="CW35">
        <v>2.8</v>
      </c>
      <c r="CX35" t="s">
        <v>52</v>
      </c>
      <c r="CY35" t="s">
        <v>421</v>
      </c>
      <c r="CZ35">
        <v>62</v>
      </c>
      <c r="DA35" t="s">
        <v>412</v>
      </c>
      <c r="DB35">
        <v>0</v>
      </c>
      <c r="DC35" t="s">
        <v>55</v>
      </c>
      <c r="DD35" t="s">
        <v>90</v>
      </c>
      <c r="DE35" t="s">
        <v>65</v>
      </c>
      <c r="DF35" t="s">
        <v>413</v>
      </c>
      <c r="DG35">
        <v>34</v>
      </c>
    </row>
    <row r="36" spans="1:111" x14ac:dyDescent="0.3">
      <c r="A36" s="41" t="str">
        <v>Anjali</v>
      </c>
      <c r="B36" s="41">
        <f>COUNTIFS(tblStudyData[Student_Name],A36,tblStudyData[Attendence_Status],"Present")</f>
        <v>11</v>
      </c>
      <c r="C36" s="41">
        <f>COUNTIFS(tblStudyData[Student_Name],A36,tblStudyData[Attendence_Status],"Late")</f>
        <v>11</v>
      </c>
      <c r="D36" s="41">
        <f>COUNTIFS(tblStudyData[Student_Name],A36,tblStudyData[Attendence_Status],"Absent")</f>
        <v>10</v>
      </c>
      <c r="E36" s="43">
        <f>AVERAGEIF(tblStudyData[Student_Name],A36,tblStudyData[Attendance_Percentage])</f>
        <v>0.90656250000000016</v>
      </c>
      <c r="F36" s="41" t="str">
        <f t="shared" si="3"/>
        <v>Good</v>
      </c>
      <c r="G36" s="41" t="str">
        <f t="shared" si="2"/>
        <v>LOW RISK</v>
      </c>
      <c r="J36" s="41" t="str">
        <v>Sai</v>
      </c>
      <c r="K36" s="42">
        <f>AVERAGEIF(tblStudyData[Student_Name],J36,tblStudyData[Test_Score])</f>
        <v>77.045454545454547</v>
      </c>
      <c r="L36" s="43">
        <f>AVERAGEIF(tblStudyData[Student_Name],J36,tblStudyData[Attendance_Percentage])</f>
        <v>0.89500000000000024</v>
      </c>
      <c r="M36" s="41" t="str">
        <f t="shared" si="4"/>
        <v>Review</v>
      </c>
      <c r="N36" s="41" t="str">
        <f t="shared" si="5"/>
        <v>Review</v>
      </c>
      <c r="CL36" t="s">
        <v>226</v>
      </c>
      <c r="CM36" s="27">
        <v>46252</v>
      </c>
      <c r="CN36" t="s">
        <v>70</v>
      </c>
      <c r="CO36" t="s">
        <v>80</v>
      </c>
      <c r="CP36" t="s">
        <v>37</v>
      </c>
      <c r="CQ36">
        <v>11</v>
      </c>
      <c r="CR36" t="s">
        <v>39</v>
      </c>
      <c r="CS36" t="s">
        <v>42</v>
      </c>
      <c r="CT36" t="s">
        <v>113</v>
      </c>
      <c r="CU36" t="s">
        <v>49</v>
      </c>
      <c r="CV36">
        <v>1</v>
      </c>
      <c r="CW36">
        <v>0.9</v>
      </c>
      <c r="CX36" t="s">
        <v>52</v>
      </c>
      <c r="CY36" t="s">
        <v>420</v>
      </c>
      <c r="CZ36">
        <v>77</v>
      </c>
      <c r="DA36" t="s">
        <v>409</v>
      </c>
      <c r="DB36">
        <v>0.8</v>
      </c>
      <c r="DC36" t="s">
        <v>55</v>
      </c>
      <c r="DD36" t="s">
        <v>57</v>
      </c>
      <c r="DE36" t="s">
        <v>65</v>
      </c>
      <c r="DF36" t="s">
        <v>411</v>
      </c>
      <c r="DG36">
        <v>34</v>
      </c>
    </row>
    <row r="37" spans="1:111" x14ac:dyDescent="0.3">
      <c r="A37" s="41" t="str">
        <v>Rohit</v>
      </c>
      <c r="B37" s="41">
        <f>COUNTIFS(tblStudyData[Student_Name],A37,tblStudyData[Attendence_Status],"Present")</f>
        <v>4</v>
      </c>
      <c r="C37" s="41">
        <f>COUNTIFS(tblStudyData[Student_Name],A37,tblStudyData[Attendence_Status],"Late")</f>
        <v>4</v>
      </c>
      <c r="D37" s="41">
        <f>COUNTIFS(tblStudyData[Student_Name],A37,tblStudyData[Attendence_Status],"Absent")</f>
        <v>7</v>
      </c>
      <c r="E37" s="43">
        <f>AVERAGEIF(tblStudyData[Student_Name],A37,tblStudyData[Attendance_Percentage])</f>
        <v>0.90666666666666673</v>
      </c>
      <c r="F37" s="41" t="str">
        <f t="shared" si="3"/>
        <v>Good</v>
      </c>
      <c r="G37" s="41" t="str">
        <f t="shared" si="2"/>
        <v>LOW RISK</v>
      </c>
      <c r="J37" s="41" t="str">
        <v>Divya</v>
      </c>
      <c r="K37" s="42">
        <f>AVERAGEIF(tblStudyData[Student_Name],J37,tblStudyData[Test_Score])</f>
        <v>81.578947368421055</v>
      </c>
      <c r="L37" s="43">
        <f>AVERAGEIF(tblStudyData[Student_Name],J37,tblStudyData[Attendance_Percentage])</f>
        <v>0.86421052631578954</v>
      </c>
      <c r="M37" s="41" t="str">
        <f t="shared" si="4"/>
        <v>Review</v>
      </c>
      <c r="N37" s="41" t="str">
        <f t="shared" si="5"/>
        <v>Review</v>
      </c>
      <c r="CL37" t="s">
        <v>225</v>
      </c>
      <c r="CM37" s="27">
        <v>46263</v>
      </c>
      <c r="CN37" t="s">
        <v>69</v>
      </c>
      <c r="CO37" t="s">
        <v>79</v>
      </c>
      <c r="CP37" t="s">
        <v>36</v>
      </c>
      <c r="CQ37">
        <v>10</v>
      </c>
      <c r="CR37" t="s">
        <v>39</v>
      </c>
      <c r="CS37" t="s">
        <v>42</v>
      </c>
      <c r="CT37" t="s">
        <v>113</v>
      </c>
      <c r="CU37" t="s">
        <v>88</v>
      </c>
      <c r="CV37">
        <v>2</v>
      </c>
      <c r="CW37">
        <v>1.5</v>
      </c>
      <c r="CX37" t="s">
        <v>52</v>
      </c>
      <c r="CY37" t="s">
        <v>420</v>
      </c>
      <c r="CZ37">
        <v>83</v>
      </c>
      <c r="DA37" t="s">
        <v>53</v>
      </c>
      <c r="DB37">
        <v>1</v>
      </c>
      <c r="DC37" t="s">
        <v>56</v>
      </c>
      <c r="DD37" t="s">
        <v>59</v>
      </c>
      <c r="DE37" t="s">
        <v>65</v>
      </c>
      <c r="DF37" t="s">
        <v>410</v>
      </c>
      <c r="DG37">
        <v>35</v>
      </c>
    </row>
    <row r="38" spans="1:111" x14ac:dyDescent="0.3">
      <c r="A38" s="41" t="str">
        <v>Divya</v>
      </c>
      <c r="B38" s="41">
        <f>COUNTIFS(tblStudyData[Student_Name],A38,tblStudyData[Attendence_Status],"Present")</f>
        <v>4</v>
      </c>
      <c r="C38" s="41">
        <f>COUNTIFS(tblStudyData[Student_Name],A38,tblStudyData[Attendence_Status],"Late")</f>
        <v>9</v>
      </c>
      <c r="D38" s="41">
        <f>COUNTIFS(tblStudyData[Student_Name],A38,tblStudyData[Attendence_Status],"Absent")</f>
        <v>6</v>
      </c>
      <c r="E38" s="43">
        <f>AVERAGEIF(tblStudyData[Student_Name],A38,tblStudyData[Attendance_Percentage])</f>
        <v>0.86421052631578954</v>
      </c>
      <c r="F38" s="41" t="str">
        <f t="shared" si="3"/>
        <v>Needs Improvement</v>
      </c>
      <c r="G38" s="41" t="str">
        <f t="shared" si="2"/>
        <v>MEDIUM RISK</v>
      </c>
      <c r="J38" s="41" t="str">
        <v>Anjali</v>
      </c>
      <c r="K38" s="42">
        <f>AVERAGEIF(tblStudyData[Student_Name],J38,tblStudyData[Test_Score])</f>
        <v>79.09375</v>
      </c>
      <c r="L38" s="43">
        <f>AVERAGEIF(tblStudyData[Student_Name],J38,tblStudyData[Attendance_Percentage])</f>
        <v>0.90656250000000016</v>
      </c>
      <c r="M38" s="41" t="str">
        <f t="shared" si="4"/>
        <v>Review</v>
      </c>
      <c r="N38" s="41" t="str">
        <f t="shared" si="5"/>
        <v>Review</v>
      </c>
      <c r="CL38" t="s">
        <v>209</v>
      </c>
      <c r="CM38" s="27">
        <v>46250</v>
      </c>
      <c r="CN38" t="s">
        <v>68</v>
      </c>
      <c r="CO38" t="s">
        <v>78</v>
      </c>
      <c r="CP38" t="s">
        <v>37</v>
      </c>
      <c r="CQ38">
        <v>12</v>
      </c>
      <c r="CR38" t="s">
        <v>39</v>
      </c>
      <c r="CS38" t="s">
        <v>42</v>
      </c>
      <c r="CT38" t="s">
        <v>113</v>
      </c>
      <c r="CU38" t="s">
        <v>49</v>
      </c>
      <c r="CV38">
        <v>2</v>
      </c>
      <c r="CW38">
        <v>1.7</v>
      </c>
      <c r="CX38" t="s">
        <v>52</v>
      </c>
      <c r="CY38" t="s">
        <v>420</v>
      </c>
      <c r="CZ38">
        <v>91</v>
      </c>
      <c r="DA38" t="s">
        <v>53</v>
      </c>
      <c r="DB38">
        <v>1</v>
      </c>
      <c r="DC38" t="s">
        <v>54</v>
      </c>
      <c r="DD38" t="s">
        <v>91</v>
      </c>
      <c r="DE38" t="s">
        <v>65</v>
      </c>
      <c r="DF38" t="s">
        <v>414</v>
      </c>
      <c r="DG38">
        <v>33</v>
      </c>
    </row>
    <row r="39" spans="1:111" x14ac:dyDescent="0.3">
      <c r="A39" s="41" t="str">
        <v>Vikaram</v>
      </c>
      <c r="B39" s="41">
        <f>COUNTIFS(tblStudyData[Student_Name],A39,tblStudyData[Attendence_Status],"Present")</f>
        <v>8</v>
      </c>
      <c r="C39" s="41">
        <f>COUNTIFS(tblStudyData[Student_Name],A39,tblStudyData[Attendence_Status],"Late")</f>
        <v>7</v>
      </c>
      <c r="D39" s="41">
        <f>COUNTIFS(tblStudyData[Student_Name],A39,tblStudyData[Attendence_Status],"Absent")</f>
        <v>9</v>
      </c>
      <c r="E39" s="43">
        <f>AVERAGEIF(tblStudyData[Student_Name],A39,tblStudyData[Attendance_Percentage])</f>
        <v>0.88166666666666682</v>
      </c>
      <c r="F39" s="41" t="str">
        <f t="shared" si="3"/>
        <v>Needs Improvement</v>
      </c>
      <c r="G39" s="41" t="str">
        <f t="shared" si="2"/>
        <v>MEDIUM RISK</v>
      </c>
      <c r="J39" s="41" t="str">
        <v>Sneha</v>
      </c>
      <c r="K39" s="42">
        <f>AVERAGEIF(tblStudyData[Student_Name],J39,tblStudyData[Test_Score])</f>
        <v>75.928571428571431</v>
      </c>
      <c r="L39" s="43">
        <f>AVERAGEIF(tblStudyData[Student_Name],J39,tblStudyData[Attendance_Percentage])</f>
        <v>0.89642857142857146</v>
      </c>
      <c r="M39" s="41" t="str">
        <f t="shared" si="4"/>
        <v>Review</v>
      </c>
      <c r="N39" s="41" t="str">
        <f t="shared" si="5"/>
        <v>Review</v>
      </c>
      <c r="CL39" t="s">
        <v>149</v>
      </c>
      <c r="CM39" s="27">
        <v>46252</v>
      </c>
      <c r="CN39" t="s">
        <v>75</v>
      </c>
      <c r="CO39" t="s">
        <v>85</v>
      </c>
      <c r="CP39" t="s">
        <v>36</v>
      </c>
      <c r="CQ39">
        <v>9</v>
      </c>
      <c r="CR39" t="s">
        <v>38</v>
      </c>
      <c r="CS39" t="s">
        <v>42</v>
      </c>
      <c r="CT39" t="s">
        <v>113</v>
      </c>
      <c r="CU39" t="s">
        <v>49</v>
      </c>
      <c r="CV39">
        <v>3</v>
      </c>
      <c r="CW39">
        <v>2.2000000000000002</v>
      </c>
      <c r="CX39" t="s">
        <v>52</v>
      </c>
      <c r="CY39" t="s">
        <v>420</v>
      </c>
      <c r="CZ39">
        <v>91</v>
      </c>
      <c r="DA39" t="s">
        <v>409</v>
      </c>
      <c r="DB39">
        <v>0.8</v>
      </c>
      <c r="DC39" t="s">
        <v>56</v>
      </c>
      <c r="DD39" t="s">
        <v>59</v>
      </c>
      <c r="DE39" t="s">
        <v>65</v>
      </c>
      <c r="DF39" t="s">
        <v>411</v>
      </c>
      <c r="DG39">
        <v>34</v>
      </c>
    </row>
    <row r="40" spans="1:111" x14ac:dyDescent="0.3">
      <c r="A40" s="41" t="str">
        <v>Neha</v>
      </c>
      <c r="B40" s="41">
        <f>COUNTIFS(tblStudyData[Student_Name],A40,tblStudyData[Attendence_Status],"Present")</f>
        <v>10</v>
      </c>
      <c r="C40" s="41">
        <f>COUNTIFS(tblStudyData[Student_Name],A40,tblStudyData[Attendence_Status],"Late")</f>
        <v>2</v>
      </c>
      <c r="D40" s="41">
        <f>COUNTIFS(tblStudyData[Student_Name],A40,tblStudyData[Attendence_Status],"Absent")</f>
        <v>11</v>
      </c>
      <c r="E40" s="43">
        <f>AVERAGEIF(tblStudyData[Student_Name],A40,tblStudyData[Attendance_Percentage])</f>
        <v>0.93260869565217386</v>
      </c>
      <c r="F40" s="41" t="str">
        <f t="shared" si="3"/>
        <v>Good</v>
      </c>
      <c r="G40" s="41" t="str">
        <f t="shared" si="2"/>
        <v>LOW RISK</v>
      </c>
      <c r="J40" s="41" t="str">
        <v>Arjun</v>
      </c>
      <c r="K40" s="42">
        <f>AVERAGEIF(tblStudyData[Student_Name],J40,tblStudyData[Test_Score])</f>
        <v>77.63636363636364</v>
      </c>
      <c r="L40" s="43">
        <f>AVERAGEIF(tblStudyData[Student_Name],J40,tblStudyData[Attendance_Percentage])</f>
        <v>0.93909090909090931</v>
      </c>
      <c r="M40" s="41" t="str">
        <f t="shared" si="4"/>
        <v>Review</v>
      </c>
      <c r="N40" s="41" t="str">
        <f t="shared" si="5"/>
        <v>Review</v>
      </c>
      <c r="CL40" t="s">
        <v>202</v>
      </c>
      <c r="CM40" s="27">
        <v>46252</v>
      </c>
      <c r="CN40" t="s">
        <v>73</v>
      </c>
      <c r="CO40" t="s">
        <v>83</v>
      </c>
      <c r="CP40" t="s">
        <v>36</v>
      </c>
      <c r="CQ40">
        <v>10</v>
      </c>
      <c r="CR40" t="s">
        <v>38</v>
      </c>
      <c r="CS40" t="s">
        <v>42</v>
      </c>
      <c r="CT40" t="s">
        <v>113</v>
      </c>
      <c r="CU40" t="s">
        <v>49</v>
      </c>
      <c r="CV40">
        <v>4</v>
      </c>
      <c r="CW40">
        <v>3.4</v>
      </c>
      <c r="CX40" t="s">
        <v>52</v>
      </c>
      <c r="CY40" t="s">
        <v>420</v>
      </c>
      <c r="CZ40">
        <v>78</v>
      </c>
      <c r="DA40" t="s">
        <v>409</v>
      </c>
      <c r="DB40">
        <v>0.8</v>
      </c>
      <c r="DC40" t="s">
        <v>55</v>
      </c>
      <c r="DD40" t="s">
        <v>58</v>
      </c>
      <c r="DE40" t="s">
        <v>65</v>
      </c>
      <c r="DF40" t="s">
        <v>411</v>
      </c>
      <c r="DG40">
        <v>34</v>
      </c>
    </row>
    <row r="41" spans="1:111" x14ac:dyDescent="0.3">
      <c r="A41" s="41" t="str">
        <v>Sai</v>
      </c>
      <c r="B41" s="41">
        <f>COUNTIFS(tblStudyData[Student_Name],A41,tblStudyData[Attendence_Status],"Present")</f>
        <v>8</v>
      </c>
      <c r="C41" s="41">
        <f>COUNTIFS(tblStudyData[Student_Name],A41,tblStudyData[Attendence_Status],"Late")</f>
        <v>10</v>
      </c>
      <c r="D41" s="41">
        <f>COUNTIFS(tblStudyData[Student_Name],A41,tblStudyData[Attendence_Status],"Absent")</f>
        <v>4</v>
      </c>
      <c r="E41" s="43">
        <f>AVERAGEIF(tblStudyData[Student_Name],A41,tblStudyData[Attendance_Percentage])</f>
        <v>0.89500000000000024</v>
      </c>
      <c r="F41" s="41" t="str">
        <f t="shared" si="3"/>
        <v>Needs Improvement</v>
      </c>
      <c r="G41" s="41" t="str">
        <f t="shared" si="2"/>
        <v>MEDIUM RISK</v>
      </c>
      <c r="J41" s="41" t="str">
        <v>Kiran</v>
      </c>
      <c r="K41" s="42">
        <f>AVERAGEIF(tblStudyData[Student_Name],J41,tblStudyData[Test_Score])</f>
        <v>80.375</v>
      </c>
      <c r="L41" s="43">
        <f>AVERAGEIF(tblStudyData[Student_Name],J41,tblStudyData[Attendance_Percentage])</f>
        <v>0.88124999999999998</v>
      </c>
      <c r="M41" s="41" t="str">
        <f t="shared" si="4"/>
        <v>Review</v>
      </c>
      <c r="N41" s="41" t="str">
        <f t="shared" si="5"/>
        <v>Review</v>
      </c>
      <c r="CL41" t="s">
        <v>151</v>
      </c>
      <c r="CM41" s="27">
        <v>46241</v>
      </c>
      <c r="CN41" t="s">
        <v>67</v>
      </c>
      <c r="CO41" t="s">
        <v>77</v>
      </c>
      <c r="CP41" t="s">
        <v>36</v>
      </c>
      <c r="CQ41">
        <v>9</v>
      </c>
      <c r="CR41" t="s">
        <v>38</v>
      </c>
      <c r="CS41" t="s">
        <v>42</v>
      </c>
      <c r="CT41" t="s">
        <v>113</v>
      </c>
      <c r="CU41" t="s">
        <v>51</v>
      </c>
      <c r="CV41">
        <v>3</v>
      </c>
      <c r="CW41">
        <v>2.2999999999999998</v>
      </c>
      <c r="CX41" t="s">
        <v>52</v>
      </c>
      <c r="CY41" t="s">
        <v>420</v>
      </c>
      <c r="CZ41">
        <v>91</v>
      </c>
      <c r="DA41" t="s">
        <v>409</v>
      </c>
      <c r="DB41">
        <v>0.8</v>
      </c>
      <c r="DC41" t="s">
        <v>54</v>
      </c>
      <c r="DD41" t="s">
        <v>59</v>
      </c>
      <c r="DE41" t="s">
        <v>65</v>
      </c>
      <c r="DF41" t="s">
        <v>411</v>
      </c>
      <c r="DG41">
        <v>32</v>
      </c>
    </row>
    <row r="42" spans="1:111" x14ac:dyDescent="0.3">
      <c r="A42" s="41" t="str">
        <v>Pooja</v>
      </c>
      <c r="B42" s="41">
        <f>COUNTIFS(tblStudyData[Student_Name],A42,tblStudyData[Attendence_Status],"Present")</f>
        <v>9</v>
      </c>
      <c r="C42" s="41">
        <f>COUNTIFS(tblStudyData[Student_Name],A42,tblStudyData[Attendence_Status],"Late")</f>
        <v>5</v>
      </c>
      <c r="D42" s="41">
        <f>COUNTIFS(tblStudyData[Student_Name],A42,tblStudyData[Attendence_Status],"Absent")</f>
        <v>9</v>
      </c>
      <c r="E42" s="43">
        <f>AVERAGEIF(tblStudyData[Student_Name],A42,tblStudyData[Attendance_Percentage])</f>
        <v>0.9104347826086957</v>
      </c>
      <c r="F42" s="41" t="str">
        <f t="shared" si="3"/>
        <v>Good</v>
      </c>
      <c r="G42" s="41" t="str">
        <f t="shared" si="2"/>
        <v>LOW RISK</v>
      </c>
      <c r="J42" s="41" t="str">
        <v>Kavya</v>
      </c>
      <c r="K42" s="42">
        <f>AVERAGEIF(tblStudyData[Student_Name],J42,tblStudyData[Test_Score])</f>
        <v>80.411764705882348</v>
      </c>
      <c r="L42" s="43">
        <f>AVERAGEIF(tblStudyData[Student_Name],J42,tblStudyData[Attendance_Percentage])</f>
        <v>0.91705882352941182</v>
      </c>
      <c r="M42" s="41" t="str">
        <f t="shared" si="4"/>
        <v>Review</v>
      </c>
      <c r="N42" s="41" t="str">
        <f t="shared" si="5"/>
        <v>Review</v>
      </c>
      <c r="CL42" t="s">
        <v>200</v>
      </c>
      <c r="CM42" s="27">
        <v>46248</v>
      </c>
      <c r="CN42" t="s">
        <v>30</v>
      </c>
      <c r="CO42" t="s">
        <v>35</v>
      </c>
      <c r="CP42" t="s">
        <v>36</v>
      </c>
      <c r="CQ42">
        <v>12</v>
      </c>
      <c r="CR42" t="s">
        <v>38</v>
      </c>
      <c r="CS42" t="s">
        <v>42</v>
      </c>
      <c r="CT42" t="s">
        <v>113</v>
      </c>
      <c r="CU42" t="s">
        <v>49</v>
      </c>
      <c r="CV42">
        <v>4</v>
      </c>
      <c r="CW42">
        <v>3.2</v>
      </c>
      <c r="CX42" t="s">
        <v>52</v>
      </c>
      <c r="CY42" t="s">
        <v>420</v>
      </c>
      <c r="CZ42">
        <v>76</v>
      </c>
      <c r="DA42" t="s">
        <v>409</v>
      </c>
      <c r="DB42">
        <v>0.8</v>
      </c>
      <c r="DC42" t="s">
        <v>54</v>
      </c>
      <c r="DD42" t="s">
        <v>90</v>
      </c>
      <c r="DE42" t="s">
        <v>65</v>
      </c>
      <c r="DF42" t="s">
        <v>411</v>
      </c>
      <c r="DG42">
        <v>33</v>
      </c>
    </row>
    <row r="43" spans="1:111" x14ac:dyDescent="0.3">
      <c r="A43" s="41" t="str">
        <v>Naveen</v>
      </c>
      <c r="B43" s="41">
        <f>COUNTIFS(tblStudyData[Student_Name],A43,tblStudyData[Attendence_Status],"Present")</f>
        <v>5</v>
      </c>
      <c r="C43" s="41">
        <f>COUNTIFS(tblStudyData[Student_Name],A43,tblStudyData[Attendence_Status],"Late")</f>
        <v>9</v>
      </c>
      <c r="D43" s="41">
        <f>COUNTIFS(tblStudyData[Student_Name],A43,tblStudyData[Attendence_Status],"Absent")</f>
        <v>4</v>
      </c>
      <c r="E43" s="43">
        <f>AVERAGEIF(tblStudyData[Student_Name],A43,tblStudyData[Attendance_Percentage])</f>
        <v>0.86722222222222234</v>
      </c>
      <c r="F43" s="41" t="str">
        <f t="shared" si="3"/>
        <v>Needs Improvement</v>
      </c>
      <c r="G43" s="41" t="str">
        <f t="shared" si="2"/>
        <v>MEDIUM RISK</v>
      </c>
      <c r="J43" s="41" t="str">
        <v>Akhil</v>
      </c>
      <c r="K43" s="42">
        <f>AVERAGEIF(tblStudyData[Student_Name],J43,tblStudyData[Test_Score])</f>
        <v>83</v>
      </c>
      <c r="L43" s="43">
        <f>AVERAGEIF(tblStudyData[Student_Name],J43,tblStudyData[Attendance_Percentage])</f>
        <v>0.85368421052631571</v>
      </c>
      <c r="M43" s="41" t="str">
        <f t="shared" si="4"/>
        <v>Review</v>
      </c>
      <c r="N43" s="41" t="str">
        <f t="shared" si="5"/>
        <v>Review</v>
      </c>
      <c r="CL43" t="s">
        <v>197</v>
      </c>
      <c r="CM43" s="27">
        <v>46246</v>
      </c>
      <c r="CN43" t="s">
        <v>74</v>
      </c>
      <c r="CO43" t="s">
        <v>84</v>
      </c>
      <c r="CP43" t="s">
        <v>37</v>
      </c>
      <c r="CQ43">
        <v>11</v>
      </c>
      <c r="CR43" t="s">
        <v>38</v>
      </c>
      <c r="CS43" t="s">
        <v>42</v>
      </c>
      <c r="CT43" t="s">
        <v>113</v>
      </c>
      <c r="CU43" t="s">
        <v>49</v>
      </c>
      <c r="CV43">
        <v>2</v>
      </c>
      <c r="CW43">
        <v>1.4</v>
      </c>
      <c r="CX43" t="s">
        <v>52</v>
      </c>
      <c r="CY43" t="s">
        <v>420</v>
      </c>
      <c r="CZ43">
        <v>74</v>
      </c>
      <c r="DA43" t="s">
        <v>412</v>
      </c>
      <c r="DB43">
        <v>0</v>
      </c>
      <c r="DC43" t="s">
        <v>55</v>
      </c>
      <c r="DD43" t="s">
        <v>91</v>
      </c>
      <c r="DE43" t="s">
        <v>65</v>
      </c>
      <c r="DF43" t="s">
        <v>413</v>
      </c>
      <c r="DG43">
        <v>33</v>
      </c>
    </row>
    <row r="44" spans="1:111" x14ac:dyDescent="0.3">
      <c r="A44" s="41" t="str">
        <v>Kavya</v>
      </c>
      <c r="B44" s="41">
        <f>COUNTIFS(tblStudyData[Student_Name],A44,tblStudyData[Attendence_Status],"Present")</f>
        <v>7</v>
      </c>
      <c r="C44" s="41">
        <f>COUNTIFS(tblStudyData[Student_Name],A44,tblStudyData[Attendence_Status],"Late")</f>
        <v>3</v>
      </c>
      <c r="D44" s="41">
        <f>COUNTIFS(tblStudyData[Student_Name],A44,tblStudyData[Attendence_Status],"Absent")</f>
        <v>7</v>
      </c>
      <c r="E44" s="43">
        <f>AVERAGEIF(tblStudyData[Student_Name],A44,tblStudyData[Attendance_Percentage])</f>
        <v>0.91705882352941182</v>
      </c>
      <c r="F44" s="41" t="str">
        <f t="shared" si="3"/>
        <v>Good</v>
      </c>
      <c r="G44" s="41" t="str">
        <f t="shared" si="2"/>
        <v>LOW RISK</v>
      </c>
      <c r="J44" s="41" t="str">
        <v>Rohit</v>
      </c>
      <c r="K44" s="42">
        <f>AVERAGEIF(tblStudyData[Student_Name],J44,tblStudyData[Test_Score])</f>
        <v>83.266666666666666</v>
      </c>
      <c r="L44" s="43">
        <f>AVERAGEIF(tblStudyData[Student_Name],J44,tblStudyData[Attendance_Percentage])</f>
        <v>0.90666666666666673</v>
      </c>
      <c r="M44" s="41" t="str">
        <f t="shared" si="4"/>
        <v>Review</v>
      </c>
      <c r="N44" s="41" t="str">
        <f t="shared" si="5"/>
        <v>Review</v>
      </c>
      <c r="CL44" t="s">
        <v>154</v>
      </c>
      <c r="CM44" s="27">
        <v>46244</v>
      </c>
      <c r="CN44" t="s">
        <v>27</v>
      </c>
      <c r="CO44" t="s">
        <v>32</v>
      </c>
      <c r="CP44" t="s">
        <v>37</v>
      </c>
      <c r="CQ44">
        <v>10</v>
      </c>
      <c r="CR44" t="s">
        <v>38</v>
      </c>
      <c r="CS44" t="s">
        <v>42</v>
      </c>
      <c r="CT44" t="s">
        <v>113</v>
      </c>
      <c r="CU44" t="s">
        <v>50</v>
      </c>
      <c r="CV44">
        <v>2</v>
      </c>
      <c r="CW44">
        <v>1.3</v>
      </c>
      <c r="CX44" t="s">
        <v>52</v>
      </c>
      <c r="CY44" t="s">
        <v>420</v>
      </c>
      <c r="CZ44">
        <v>82</v>
      </c>
      <c r="DA44" t="s">
        <v>412</v>
      </c>
      <c r="DB44">
        <v>0</v>
      </c>
      <c r="DC44" t="s">
        <v>56</v>
      </c>
      <c r="DD44" t="s">
        <v>90</v>
      </c>
      <c r="DE44" t="s">
        <v>65</v>
      </c>
      <c r="DF44" t="s">
        <v>413</v>
      </c>
      <c r="DG44">
        <v>33</v>
      </c>
    </row>
    <row r="45" spans="1:111" x14ac:dyDescent="0.3">
      <c r="A45" s="41" t="str">
        <v>Akhil</v>
      </c>
      <c r="B45" s="41">
        <f>COUNTIFS(tblStudyData[Student_Name],A45,tblStudyData[Attendence_Status],"Present")</f>
        <v>5</v>
      </c>
      <c r="C45" s="41">
        <f>COUNTIFS(tblStudyData[Student_Name],A45,tblStudyData[Attendence_Status],"Late")</f>
        <v>10</v>
      </c>
      <c r="D45" s="41">
        <f>COUNTIFS(tblStudyData[Student_Name],A45,tblStudyData[Attendence_Status],"Absent")</f>
        <v>4</v>
      </c>
      <c r="E45" s="43">
        <f>AVERAGEIF(tblStudyData[Student_Name],A45,tblStudyData[Attendance_Percentage])</f>
        <v>0.85368421052631571</v>
      </c>
      <c r="F45" s="41" t="str">
        <f t="shared" si="3"/>
        <v>Needs Improvement</v>
      </c>
      <c r="G45" s="41" t="str">
        <f t="shared" si="2"/>
        <v>MEDIUM RISK</v>
      </c>
      <c r="J45" s="41" t="str">
        <v>Priya</v>
      </c>
      <c r="K45" s="42">
        <f>AVERAGEIF(tblStudyData[Student_Name],J45,tblStudyData[Test_Score])</f>
        <v>82.6875</v>
      </c>
      <c r="L45" s="43">
        <f>AVERAGEIF(tblStudyData[Student_Name],J45,tblStudyData[Attendance_Percentage])</f>
        <v>0.88312500000000016</v>
      </c>
      <c r="M45" s="41" t="str">
        <f t="shared" si="4"/>
        <v>Review</v>
      </c>
      <c r="N45" s="41" t="str">
        <f t="shared" si="5"/>
        <v>Review</v>
      </c>
      <c r="CL45" t="s">
        <v>187</v>
      </c>
      <c r="CM45" s="27">
        <v>46256</v>
      </c>
      <c r="CN45" t="s">
        <v>71</v>
      </c>
      <c r="CO45" t="s">
        <v>81</v>
      </c>
      <c r="CP45" t="s">
        <v>36</v>
      </c>
      <c r="CQ45">
        <v>9</v>
      </c>
      <c r="CR45" t="s">
        <v>39</v>
      </c>
      <c r="CS45" t="s">
        <v>42</v>
      </c>
      <c r="CT45" t="s">
        <v>113</v>
      </c>
      <c r="CU45" t="s">
        <v>51</v>
      </c>
      <c r="CV45">
        <v>3</v>
      </c>
      <c r="CW45">
        <v>2.5</v>
      </c>
      <c r="CX45" t="s">
        <v>52</v>
      </c>
      <c r="CY45" t="s">
        <v>420</v>
      </c>
      <c r="CZ45">
        <v>68</v>
      </c>
      <c r="DA45" t="s">
        <v>53</v>
      </c>
      <c r="DB45">
        <v>1</v>
      </c>
      <c r="DC45" t="s">
        <v>56</v>
      </c>
      <c r="DD45" t="s">
        <v>59</v>
      </c>
      <c r="DE45" t="s">
        <v>65</v>
      </c>
      <c r="DF45" t="s">
        <v>413</v>
      </c>
      <c r="DG45">
        <v>34</v>
      </c>
    </row>
    <row r="46" spans="1:111" x14ac:dyDescent="0.3">
      <c r="CL46" t="s">
        <v>183</v>
      </c>
      <c r="CM46" s="27">
        <v>46238</v>
      </c>
      <c r="CN46" t="s">
        <v>69</v>
      </c>
      <c r="CO46" t="s">
        <v>79</v>
      </c>
      <c r="CP46" t="s">
        <v>36</v>
      </c>
      <c r="CQ46">
        <v>10</v>
      </c>
      <c r="CR46" t="s">
        <v>39</v>
      </c>
      <c r="CS46" t="s">
        <v>42</v>
      </c>
      <c r="CT46" t="s">
        <v>113</v>
      </c>
      <c r="CU46" t="s">
        <v>51</v>
      </c>
      <c r="CV46">
        <v>4</v>
      </c>
      <c r="CW46">
        <v>3.8</v>
      </c>
      <c r="CX46" t="s">
        <v>52</v>
      </c>
      <c r="CY46" t="s">
        <v>420</v>
      </c>
      <c r="CZ46">
        <v>76</v>
      </c>
      <c r="DA46" t="s">
        <v>409</v>
      </c>
      <c r="DB46">
        <v>0.8</v>
      </c>
      <c r="DC46" t="s">
        <v>56</v>
      </c>
      <c r="DD46" t="s">
        <v>91</v>
      </c>
      <c r="DE46" t="s">
        <v>65</v>
      </c>
      <c r="DF46" t="s">
        <v>411</v>
      </c>
      <c r="DG46">
        <v>32</v>
      </c>
    </row>
    <row r="47" spans="1:111" x14ac:dyDescent="0.3">
      <c r="CL47" t="s">
        <v>157</v>
      </c>
      <c r="CM47" s="27">
        <v>46259</v>
      </c>
      <c r="CN47" t="s">
        <v>68</v>
      </c>
      <c r="CO47" t="s">
        <v>78</v>
      </c>
      <c r="CP47" t="s">
        <v>37</v>
      </c>
      <c r="CQ47">
        <v>12</v>
      </c>
      <c r="CR47" t="s">
        <v>39</v>
      </c>
      <c r="CS47" t="s">
        <v>42</v>
      </c>
      <c r="CT47" t="s">
        <v>113</v>
      </c>
      <c r="CU47" t="s">
        <v>50</v>
      </c>
      <c r="CV47">
        <v>4</v>
      </c>
      <c r="CW47">
        <v>2.7</v>
      </c>
      <c r="CX47" t="s">
        <v>52</v>
      </c>
      <c r="CY47" t="s">
        <v>420</v>
      </c>
      <c r="CZ47">
        <v>72</v>
      </c>
      <c r="DA47" t="s">
        <v>409</v>
      </c>
      <c r="DB47">
        <v>0.8</v>
      </c>
      <c r="DC47" t="s">
        <v>56</v>
      </c>
      <c r="DD47" t="s">
        <v>59</v>
      </c>
      <c r="DE47" t="s">
        <v>65</v>
      </c>
      <c r="DF47" t="s">
        <v>411</v>
      </c>
      <c r="DG47">
        <v>35</v>
      </c>
    </row>
    <row r="48" spans="1:111" x14ac:dyDescent="0.3">
      <c r="CL48" t="s">
        <v>182</v>
      </c>
      <c r="CM48" s="27">
        <v>46251</v>
      </c>
      <c r="CN48" t="s">
        <v>73</v>
      </c>
      <c r="CO48" t="s">
        <v>83</v>
      </c>
      <c r="CP48" t="s">
        <v>36</v>
      </c>
      <c r="CQ48">
        <v>10</v>
      </c>
      <c r="CR48" t="s">
        <v>38</v>
      </c>
      <c r="CS48" t="s">
        <v>42</v>
      </c>
      <c r="CT48" t="s">
        <v>113</v>
      </c>
      <c r="CU48" t="s">
        <v>50</v>
      </c>
      <c r="CV48">
        <v>1</v>
      </c>
      <c r="CW48">
        <v>1</v>
      </c>
      <c r="CX48" t="s">
        <v>52</v>
      </c>
      <c r="CY48" t="s">
        <v>420</v>
      </c>
      <c r="CZ48">
        <v>86</v>
      </c>
      <c r="DA48" t="s">
        <v>409</v>
      </c>
      <c r="DB48">
        <v>0.8</v>
      </c>
      <c r="DC48" t="s">
        <v>55</v>
      </c>
      <c r="DD48" t="s">
        <v>59</v>
      </c>
      <c r="DE48" t="s">
        <v>65</v>
      </c>
      <c r="DF48" t="s">
        <v>410</v>
      </c>
      <c r="DG48">
        <v>34</v>
      </c>
    </row>
    <row r="49" spans="90:111" x14ac:dyDescent="0.3">
      <c r="CL49" t="s">
        <v>176</v>
      </c>
      <c r="CM49" s="27">
        <v>46263</v>
      </c>
      <c r="CN49" t="s">
        <v>73</v>
      </c>
      <c r="CO49" t="s">
        <v>83</v>
      </c>
      <c r="CP49" t="s">
        <v>36</v>
      </c>
      <c r="CQ49">
        <v>10</v>
      </c>
      <c r="CR49" t="s">
        <v>38</v>
      </c>
      <c r="CS49" t="s">
        <v>42</v>
      </c>
      <c r="CT49" t="s">
        <v>113</v>
      </c>
      <c r="CU49" t="s">
        <v>50</v>
      </c>
      <c r="CV49">
        <v>1</v>
      </c>
      <c r="CW49">
        <v>0.9</v>
      </c>
      <c r="CX49" t="s">
        <v>52</v>
      </c>
      <c r="CY49" t="s">
        <v>420</v>
      </c>
      <c r="CZ49">
        <v>75</v>
      </c>
      <c r="DA49" t="s">
        <v>53</v>
      </c>
      <c r="DB49">
        <v>1</v>
      </c>
      <c r="DC49" t="s">
        <v>55</v>
      </c>
      <c r="DD49" t="s">
        <v>91</v>
      </c>
      <c r="DE49" t="s">
        <v>65</v>
      </c>
      <c r="DF49" t="s">
        <v>411</v>
      </c>
      <c r="DG49">
        <v>35</v>
      </c>
    </row>
    <row r="50" spans="90:111" x14ac:dyDescent="0.3">
      <c r="CL50" t="s">
        <v>173</v>
      </c>
      <c r="CM50" s="27">
        <v>46249</v>
      </c>
      <c r="CN50" t="s">
        <v>66</v>
      </c>
      <c r="CO50" t="s">
        <v>76</v>
      </c>
      <c r="CP50" t="s">
        <v>37</v>
      </c>
      <c r="CQ50">
        <v>11</v>
      </c>
      <c r="CR50" t="s">
        <v>38</v>
      </c>
      <c r="CS50" t="s">
        <v>42</v>
      </c>
      <c r="CT50" t="s">
        <v>113</v>
      </c>
      <c r="CU50" t="s">
        <v>88</v>
      </c>
      <c r="CV50">
        <v>4</v>
      </c>
      <c r="CW50">
        <v>2.9</v>
      </c>
      <c r="CX50" t="s">
        <v>52</v>
      </c>
      <c r="CY50" t="s">
        <v>420</v>
      </c>
      <c r="CZ50">
        <v>80</v>
      </c>
      <c r="DA50" t="s">
        <v>409</v>
      </c>
      <c r="DB50">
        <v>0.8</v>
      </c>
      <c r="DC50" t="s">
        <v>54</v>
      </c>
      <c r="DD50" t="s">
        <v>60</v>
      </c>
      <c r="DE50" t="s">
        <v>65</v>
      </c>
      <c r="DF50" t="s">
        <v>411</v>
      </c>
      <c r="DG50">
        <v>33</v>
      </c>
    </row>
    <row r="51" spans="90:111" x14ac:dyDescent="0.3">
      <c r="CL51" t="s">
        <v>168</v>
      </c>
      <c r="CM51" s="27">
        <v>46241</v>
      </c>
      <c r="CN51" t="s">
        <v>75</v>
      </c>
      <c r="CO51" t="s">
        <v>85</v>
      </c>
      <c r="CP51" t="s">
        <v>36</v>
      </c>
      <c r="CQ51">
        <v>9</v>
      </c>
      <c r="CR51" t="s">
        <v>38</v>
      </c>
      <c r="CS51" t="s">
        <v>42</v>
      </c>
      <c r="CT51" t="s">
        <v>113</v>
      </c>
      <c r="CU51" t="s">
        <v>50</v>
      </c>
      <c r="CV51">
        <v>2</v>
      </c>
      <c r="CW51">
        <v>1.6</v>
      </c>
      <c r="CX51" t="s">
        <v>52</v>
      </c>
      <c r="CY51" t="s">
        <v>420</v>
      </c>
      <c r="CZ51">
        <v>91</v>
      </c>
      <c r="DA51" t="s">
        <v>409</v>
      </c>
      <c r="DB51">
        <v>0.8</v>
      </c>
      <c r="DC51" t="s">
        <v>56</v>
      </c>
      <c r="DD51" t="s">
        <v>57</v>
      </c>
      <c r="DE51" t="s">
        <v>65</v>
      </c>
      <c r="DF51" t="s">
        <v>411</v>
      </c>
      <c r="DG51">
        <v>32</v>
      </c>
    </row>
    <row r="52" spans="90:111" x14ac:dyDescent="0.3">
      <c r="CL52" t="s">
        <v>167</v>
      </c>
      <c r="CM52" s="27">
        <v>46257</v>
      </c>
      <c r="CN52" t="s">
        <v>74</v>
      </c>
      <c r="CO52" t="s">
        <v>84</v>
      </c>
      <c r="CP52" t="s">
        <v>37</v>
      </c>
      <c r="CQ52">
        <v>11</v>
      </c>
      <c r="CR52" t="s">
        <v>38</v>
      </c>
      <c r="CS52" t="s">
        <v>42</v>
      </c>
      <c r="CT52" t="s">
        <v>113</v>
      </c>
      <c r="CU52" t="s">
        <v>51</v>
      </c>
      <c r="CV52">
        <v>1</v>
      </c>
      <c r="CW52">
        <v>0.7</v>
      </c>
      <c r="CX52" t="s">
        <v>52</v>
      </c>
      <c r="CY52" t="s">
        <v>420</v>
      </c>
      <c r="CZ52">
        <v>73</v>
      </c>
      <c r="DA52" t="s">
        <v>412</v>
      </c>
      <c r="DB52">
        <v>0</v>
      </c>
      <c r="DC52" t="s">
        <v>56</v>
      </c>
      <c r="DD52" t="s">
        <v>57</v>
      </c>
      <c r="DE52" t="s">
        <v>65</v>
      </c>
      <c r="DF52" t="s">
        <v>413</v>
      </c>
      <c r="DG52">
        <v>34</v>
      </c>
    </row>
    <row r="53" spans="90:111" x14ac:dyDescent="0.3">
      <c r="CL53" t="s">
        <v>163</v>
      </c>
      <c r="CM53" s="27">
        <v>46251</v>
      </c>
      <c r="CN53" t="s">
        <v>75</v>
      </c>
      <c r="CO53" t="s">
        <v>85</v>
      </c>
      <c r="CP53" t="s">
        <v>36</v>
      </c>
      <c r="CQ53">
        <v>9</v>
      </c>
      <c r="CR53" t="s">
        <v>38</v>
      </c>
      <c r="CS53" t="s">
        <v>42</v>
      </c>
      <c r="CT53" t="s">
        <v>113</v>
      </c>
      <c r="CU53" t="s">
        <v>51</v>
      </c>
      <c r="CV53">
        <v>3</v>
      </c>
      <c r="CW53">
        <v>2.2999999999999998</v>
      </c>
      <c r="CX53" t="s">
        <v>52</v>
      </c>
      <c r="CY53" t="s">
        <v>420</v>
      </c>
      <c r="CZ53">
        <v>79</v>
      </c>
      <c r="DA53" t="s">
        <v>409</v>
      </c>
      <c r="DB53">
        <v>0.8</v>
      </c>
      <c r="DC53" t="s">
        <v>54</v>
      </c>
      <c r="DD53" t="s">
        <v>60</v>
      </c>
      <c r="DE53" t="s">
        <v>65</v>
      </c>
      <c r="DF53" t="s">
        <v>411</v>
      </c>
      <c r="DG53">
        <v>34</v>
      </c>
    </row>
  </sheetData>
  <mergeCells count="10">
    <mergeCell ref="A1:L2"/>
    <mergeCell ref="A3:L3"/>
    <mergeCell ref="A19:E19"/>
    <mergeCell ref="H19:M19"/>
    <mergeCell ref="A29:G29"/>
    <mergeCell ref="J29:N29"/>
    <mergeCell ref="A5:J5"/>
    <mergeCell ref="A7:B7"/>
    <mergeCell ref="A10:B10"/>
    <mergeCell ref="D10:I10"/>
  </mergeCells>
  <dataValidations count="1">
    <dataValidation type="list" allowBlank="1" showInputMessage="1" showErrorMessage="1" sqref="B8:C8" xr:uid="{B677B620-0CAC-4FD1-8DB2-D532C14A8FED}">
      <formula1>StudentList</formula1>
    </dataValidation>
  </dataValidations>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BE711-6B68-4AE8-9B5B-7A083002B77B}">
  <sheetPr codeName="Sheet1">
    <tabColor rgb="FF0070C0"/>
  </sheetPr>
  <dimension ref="A1:BX343"/>
  <sheetViews>
    <sheetView topLeftCell="A9" zoomScale="79" zoomScaleNormal="79" workbookViewId="0">
      <selection activeCell="E32" sqref="A9:V308"/>
    </sheetView>
  </sheetViews>
  <sheetFormatPr defaultRowHeight="14.4" x14ac:dyDescent="0.3"/>
  <cols>
    <col min="1" max="12" width="21.5546875" customWidth="1"/>
    <col min="13" max="13" width="16.6640625" bestFit="1" customWidth="1"/>
    <col min="14" max="14" width="19.109375" bestFit="1" customWidth="1"/>
    <col min="15" max="15" width="19.88671875" bestFit="1" customWidth="1"/>
    <col min="16" max="16" width="24.6640625" bestFit="1" customWidth="1"/>
    <col min="17" max="17" width="22.77734375" bestFit="1" customWidth="1"/>
    <col min="18" max="18" width="26.21875" bestFit="1" customWidth="1"/>
    <col min="19" max="19" width="15.77734375" bestFit="1" customWidth="1"/>
    <col min="20" max="20" width="22.109375" bestFit="1" customWidth="1"/>
    <col min="21" max="21" width="26.44140625" bestFit="1" customWidth="1"/>
    <col min="22" max="22" width="19.44140625" bestFit="1" customWidth="1"/>
    <col min="23" max="23" width="19.6640625" bestFit="1" customWidth="1"/>
    <col min="24" max="24" width="13.21875" bestFit="1" customWidth="1"/>
    <col min="25" max="25" width="19.5546875" bestFit="1" customWidth="1"/>
    <col min="26" max="26" width="13.88671875" bestFit="1" customWidth="1"/>
    <col min="29" max="29" width="16.21875" bestFit="1" customWidth="1"/>
    <col min="31" max="31" width="16.21875" bestFit="1" customWidth="1"/>
    <col min="32" max="32" width="16.6640625" bestFit="1" customWidth="1"/>
    <col min="42" max="42" width="11" bestFit="1" customWidth="1"/>
    <col min="43" max="43" width="14.44140625" bestFit="1" customWidth="1"/>
    <col min="44" max="44" width="7.44140625" bestFit="1" customWidth="1"/>
    <col min="57" max="57" width="10.44140625" bestFit="1" customWidth="1"/>
  </cols>
  <sheetData>
    <row r="1" spans="1:76" ht="22.8" customHeight="1" x14ac:dyDescent="0.3">
      <c r="A1" s="95" t="s">
        <v>510</v>
      </c>
      <c r="B1" s="95"/>
      <c r="C1" s="95"/>
      <c r="D1" s="95"/>
      <c r="E1" s="95"/>
      <c r="F1" s="95"/>
      <c r="G1" s="95"/>
      <c r="H1" s="95"/>
      <c r="I1" s="95"/>
      <c r="J1" s="95"/>
      <c r="K1" s="95"/>
      <c r="L1" s="95"/>
      <c r="Z1" t="s">
        <v>420</v>
      </c>
    </row>
    <row r="2" spans="1:76" ht="22.8" customHeight="1" x14ac:dyDescent="0.3">
      <c r="A2" s="95"/>
      <c r="B2" s="95"/>
      <c r="C2" s="95"/>
      <c r="D2" s="95"/>
      <c r="E2" s="95"/>
      <c r="F2" s="95"/>
      <c r="G2" s="95"/>
      <c r="H2" s="95"/>
      <c r="I2" s="95"/>
      <c r="J2" s="95"/>
      <c r="K2" s="95"/>
      <c r="L2" s="95"/>
      <c r="Z2" t="s">
        <v>421</v>
      </c>
    </row>
    <row r="3" spans="1:76" ht="30" customHeight="1" x14ac:dyDescent="0.3">
      <c r="A3" s="96"/>
      <c r="B3" s="96"/>
      <c r="C3" s="96"/>
      <c r="D3" s="96"/>
      <c r="E3" s="96"/>
      <c r="F3" s="96"/>
      <c r="G3" s="96"/>
      <c r="H3" s="96"/>
      <c r="I3" s="96"/>
      <c r="J3" s="96"/>
      <c r="K3" s="96"/>
      <c r="L3" s="96"/>
    </row>
    <row r="4" spans="1:76" x14ac:dyDescent="0.3">
      <c r="BA4" s="3"/>
    </row>
    <row r="5" spans="1:76" x14ac:dyDescent="0.3">
      <c r="E5" s="1"/>
      <c r="F5" s="1"/>
      <c r="G5" s="1"/>
      <c r="H5" s="1"/>
      <c r="I5" s="1"/>
      <c r="J5" s="1"/>
      <c r="K5" s="1"/>
      <c r="L5" s="1"/>
      <c r="M5" s="1"/>
      <c r="N5" s="1"/>
      <c r="O5" s="1"/>
      <c r="P5" s="1"/>
      <c r="Q5" s="1"/>
      <c r="R5" s="1"/>
      <c r="S5" s="1"/>
      <c r="T5" s="1"/>
      <c r="U5" s="1"/>
      <c r="V5" s="1"/>
      <c r="W5" s="1"/>
      <c r="X5" s="1"/>
      <c r="Y5" s="1"/>
    </row>
    <row r="6" spans="1:76" x14ac:dyDescent="0.3">
      <c r="E6" s="1"/>
      <c r="F6" s="2"/>
      <c r="G6" s="1"/>
      <c r="H6" s="1"/>
      <c r="I6" s="1"/>
      <c r="J6" s="1"/>
      <c r="K6" s="1"/>
      <c r="L6" s="1"/>
      <c r="M6" s="1"/>
      <c r="N6" s="1"/>
      <c r="O6" s="1"/>
      <c r="P6" s="1"/>
      <c r="Q6" s="1"/>
      <c r="R6" s="1"/>
      <c r="S6" s="1"/>
      <c r="T6" s="1"/>
      <c r="U6" s="1"/>
      <c r="V6" s="1"/>
      <c r="W6" s="1"/>
      <c r="X6" s="1"/>
      <c r="Y6" s="1"/>
      <c r="BD6" s="1"/>
      <c r="BE6" s="1"/>
      <c r="BF6" s="1"/>
      <c r="BG6" s="1"/>
      <c r="BH6" s="1"/>
      <c r="BI6" s="1"/>
      <c r="BJ6" s="1"/>
      <c r="BK6" s="1"/>
      <c r="BL6" s="1"/>
      <c r="BM6" s="1"/>
      <c r="BN6" s="1"/>
      <c r="BO6" s="1"/>
      <c r="BP6" s="1"/>
      <c r="BQ6" s="1"/>
      <c r="BR6" s="1"/>
      <c r="BS6" s="1"/>
      <c r="BT6" s="1"/>
      <c r="BU6" s="1"/>
      <c r="BV6" s="1"/>
      <c r="BW6" s="1"/>
      <c r="BX6" s="1"/>
    </row>
    <row r="7" spans="1:76" x14ac:dyDescent="0.3">
      <c r="E7" s="1"/>
      <c r="F7" s="2"/>
      <c r="G7" s="1"/>
      <c r="H7" s="1"/>
      <c r="I7" s="1"/>
      <c r="J7" s="1"/>
      <c r="K7" s="1"/>
      <c r="L7" s="1"/>
      <c r="M7" s="1"/>
      <c r="N7" s="1"/>
      <c r="O7" s="1"/>
      <c r="P7" s="1"/>
      <c r="Q7" s="1"/>
      <c r="R7" s="1"/>
      <c r="S7" s="1"/>
      <c r="T7" s="1"/>
      <c r="U7" s="1"/>
      <c r="V7" s="1"/>
      <c r="W7" s="1"/>
      <c r="X7" s="1"/>
      <c r="Y7" s="1"/>
      <c r="BD7" s="1"/>
      <c r="BE7" s="2"/>
      <c r="BF7" s="1"/>
      <c r="BG7" s="1"/>
      <c r="BH7" s="1"/>
      <c r="BI7" s="1"/>
      <c r="BJ7" s="1"/>
      <c r="BK7" s="1"/>
      <c r="BL7" s="1"/>
      <c r="BM7" s="1"/>
      <c r="BN7" s="1"/>
      <c r="BO7" s="1"/>
      <c r="BP7" s="1"/>
      <c r="BQ7" s="1"/>
      <c r="BR7" s="1"/>
      <c r="BS7" s="1"/>
      <c r="BT7" s="1"/>
      <c r="BU7" s="1"/>
      <c r="BV7" s="1"/>
      <c r="BW7" s="1"/>
      <c r="BX7" s="1"/>
    </row>
    <row r="8" spans="1:76" x14ac:dyDescent="0.3">
      <c r="A8" s="1" t="s">
        <v>0</v>
      </c>
      <c r="B8" s="4" t="s">
        <v>1</v>
      </c>
      <c r="C8" s="1" t="s">
        <v>2</v>
      </c>
      <c r="D8" s="1" t="s">
        <v>3</v>
      </c>
      <c r="E8" s="1" t="s">
        <v>4</v>
      </c>
      <c r="F8" s="1" t="s">
        <v>5</v>
      </c>
      <c r="G8" s="1" t="s">
        <v>6</v>
      </c>
      <c r="H8" s="1" t="s">
        <v>7</v>
      </c>
      <c r="I8" s="1" t="s">
        <v>8</v>
      </c>
      <c r="J8" s="1" t="s">
        <v>9</v>
      </c>
      <c r="K8" s="1" t="s">
        <v>10</v>
      </c>
      <c r="L8" s="1" t="s">
        <v>11</v>
      </c>
      <c r="M8" s="1" t="s">
        <v>12</v>
      </c>
      <c r="N8" s="1" t="s">
        <v>13</v>
      </c>
      <c r="O8" s="1" t="s">
        <v>14</v>
      </c>
      <c r="P8" s="1" t="s">
        <v>15</v>
      </c>
      <c r="Q8" s="1" t="s">
        <v>16</v>
      </c>
      <c r="R8" s="1" t="s">
        <v>17</v>
      </c>
      <c r="S8" s="1" t="s">
        <v>18</v>
      </c>
      <c r="T8" s="1" t="s">
        <v>19</v>
      </c>
      <c r="U8" s="1" t="s">
        <v>20</v>
      </c>
      <c r="V8" s="1" t="s">
        <v>446</v>
      </c>
      <c r="Y8" s="1"/>
      <c r="BD8" s="1"/>
      <c r="BE8" s="2"/>
      <c r="BF8" s="1"/>
      <c r="BG8" s="1"/>
      <c r="BH8" s="1"/>
      <c r="BI8" s="1"/>
      <c r="BJ8" s="1"/>
      <c r="BK8" s="1"/>
      <c r="BL8" s="1"/>
      <c r="BM8" s="1"/>
      <c r="BN8" s="1"/>
      <c r="BO8" s="1"/>
      <c r="BP8" s="1"/>
      <c r="BQ8" s="1"/>
      <c r="BR8" s="1"/>
      <c r="BS8" s="1"/>
      <c r="BT8" s="1"/>
      <c r="BU8" s="1"/>
      <c r="BV8" s="1"/>
      <c r="BW8" s="1"/>
      <c r="BX8" s="1"/>
    </row>
    <row r="9" spans="1:76" x14ac:dyDescent="0.3">
      <c r="A9" t="s">
        <v>21</v>
      </c>
      <c r="B9" s="5">
        <v>46253</v>
      </c>
      <c r="C9" t="s">
        <v>73</v>
      </c>
      <c r="D9" t="str">
        <f>_xlfn.XLOOKUP(tblStudyData[[#This Row],[Student_ID]],tblStudents[Student_ID],tblStudents[Student_Name],"")</f>
        <v>Naveen</v>
      </c>
      <c r="E9" t="str">
        <f>_xlfn.XLOOKUP(tblStudyData[[#This Row],[Student_ID]],tblStudents[Student_ID],tblStudents[Gender],"")</f>
        <v>Male</v>
      </c>
      <c r="F9">
        <f>_xlfn.XLOOKUP(tblStudyData[[#This Row],[Student_ID]],tblStudents[Student_ID],tblStudents[Grade],"")</f>
        <v>10</v>
      </c>
      <c r="G9" t="str">
        <f>_xlfn.XLOOKUP(tblStudyData[[#This Row],[Student_ID]],tblStudents[Student_ID],tblStudents[Class],"")</f>
        <v>A</v>
      </c>
      <c r="H9" t="s">
        <v>42</v>
      </c>
      <c r="I9" t="s">
        <v>98</v>
      </c>
      <c r="J9" t="s">
        <v>50</v>
      </c>
      <c r="K9">
        <v>4</v>
      </c>
      <c r="L9">
        <v>3.2</v>
      </c>
      <c r="M9" t="s">
        <v>52</v>
      </c>
      <c r="N9" t="s">
        <v>421</v>
      </c>
      <c r="O9">
        <v>88</v>
      </c>
      <c r="P9" t="s">
        <v>409</v>
      </c>
      <c r="Q9" s="20">
        <f>IF(tblStudyData[[#This Row],[Attendence_Status]]="Present",100%,IF(tblStudyData[[#This Row],[Attendence_Status]]="Late",80%,IF(tblStudyData[[#This Row],[Attendence_Status]]="Absent",0%,"")))</f>
        <v>0.8</v>
      </c>
      <c r="R9" t="s">
        <v>55</v>
      </c>
      <c r="S9" t="s">
        <v>60</v>
      </c>
      <c r="T9" t="s">
        <v>65</v>
      </c>
      <c r="U9" t="s">
        <v>410</v>
      </c>
      <c r="V9">
        <f>WEEKNUM(tblStudyData[[#This Row],[Date]],2)</f>
        <v>34</v>
      </c>
      <c r="Y9" s="1"/>
      <c r="BD9" s="1"/>
      <c r="BE9" s="2"/>
      <c r="BF9" s="1"/>
      <c r="BG9" s="1"/>
      <c r="BH9" s="1"/>
      <c r="BI9" s="1"/>
      <c r="BJ9" s="1"/>
      <c r="BK9" s="1"/>
      <c r="BL9" s="1"/>
      <c r="BM9" s="1"/>
      <c r="BN9" s="1"/>
      <c r="BO9" s="1"/>
      <c r="BP9" s="1"/>
      <c r="BQ9" s="1"/>
      <c r="BR9" s="1"/>
      <c r="BS9" s="1"/>
      <c r="BT9" s="1"/>
      <c r="BU9" s="1"/>
      <c r="BV9" s="1"/>
      <c r="BW9" s="1"/>
      <c r="BX9" s="1"/>
    </row>
    <row r="10" spans="1:76" x14ac:dyDescent="0.3">
      <c r="A10" t="s">
        <v>22</v>
      </c>
      <c r="B10" s="5">
        <v>46244</v>
      </c>
      <c r="C10" t="s">
        <v>70</v>
      </c>
      <c r="D10" t="str">
        <f>_xlfn.XLOOKUP(tblStudyData[[#This Row],[Student_ID]],tblStudents[Student_ID],tblStudents[Student_Name],"")</f>
        <v>Neha</v>
      </c>
      <c r="E10" t="str">
        <f>_xlfn.XLOOKUP(tblStudyData[[#This Row],[Student_ID]],tblStudents[Student_ID],tblStudents[Gender],"")</f>
        <v>Female</v>
      </c>
      <c r="F10">
        <f>_xlfn.XLOOKUP(tblStudyData[[#This Row],[Student_ID]],tblStudents[Student_ID],tblStudents[Grade],"")</f>
        <v>11</v>
      </c>
      <c r="G10" t="str">
        <f>_xlfn.XLOOKUP(tblStudyData[[#This Row],[Student_ID]],tblStudents[Student_ID],tblStudents[Class],"")</f>
        <v>B</v>
      </c>
      <c r="H10" t="s">
        <v>40</v>
      </c>
      <c r="I10" t="s">
        <v>101</v>
      </c>
      <c r="J10" t="s">
        <v>88</v>
      </c>
      <c r="K10">
        <v>4</v>
      </c>
      <c r="L10">
        <v>2.8</v>
      </c>
      <c r="M10" t="s">
        <v>52</v>
      </c>
      <c r="N10" t="s">
        <v>421</v>
      </c>
      <c r="O10">
        <v>86</v>
      </c>
      <c r="P10" t="s">
        <v>409</v>
      </c>
      <c r="Q10" s="20">
        <f>IF(tblStudyData[[#This Row],[Attendence_Status]]="Present",100%,IF(tblStudyData[[#This Row],[Attendence_Status]]="Late",80%,IF(tblStudyData[[#This Row],[Attendence_Status]]="Absent",0%,"")))</f>
        <v>0.8</v>
      </c>
      <c r="R10" t="s">
        <v>54</v>
      </c>
      <c r="S10" t="s">
        <v>60</v>
      </c>
      <c r="T10" t="s">
        <v>62</v>
      </c>
      <c r="U10" t="s">
        <v>410</v>
      </c>
      <c r="V10">
        <f>WEEKNUM(tblStudyData[[#This Row],[Date]],2)</f>
        <v>33</v>
      </c>
      <c r="Y10" s="1"/>
      <c r="BD10" s="1"/>
      <c r="BE10" s="2"/>
      <c r="BF10" s="1"/>
      <c r="BG10" s="1"/>
      <c r="BH10" s="1"/>
      <c r="BI10" s="1"/>
      <c r="BJ10" s="1"/>
      <c r="BK10" s="1"/>
      <c r="BL10" s="1"/>
      <c r="BM10" s="1"/>
      <c r="BN10" s="1"/>
      <c r="BO10" s="1"/>
      <c r="BP10" s="1"/>
      <c r="BQ10" s="1"/>
      <c r="BR10" s="1"/>
      <c r="BS10" s="1"/>
      <c r="BT10" s="1"/>
      <c r="BU10" s="1"/>
      <c r="BV10" s="1"/>
      <c r="BW10" s="1"/>
      <c r="BX10" s="1"/>
    </row>
    <row r="11" spans="1:76" x14ac:dyDescent="0.3">
      <c r="A11" t="s">
        <v>23</v>
      </c>
      <c r="B11" s="5">
        <v>46251</v>
      </c>
      <c r="C11" t="s">
        <v>70</v>
      </c>
      <c r="D11" t="str">
        <f>_xlfn.XLOOKUP(tblStudyData[[#This Row],[Student_ID]],tblStudents[Student_ID],tblStudents[Student_Name],"")</f>
        <v>Neha</v>
      </c>
      <c r="E11" t="str">
        <f>_xlfn.XLOOKUP(tblStudyData[[#This Row],[Student_ID]],tblStudents[Student_ID],tblStudents[Gender],"")</f>
        <v>Female</v>
      </c>
      <c r="F11">
        <f>_xlfn.XLOOKUP(tblStudyData[[#This Row],[Student_ID]],tblStudents[Student_ID],tblStudents[Grade],"")</f>
        <v>11</v>
      </c>
      <c r="G11" t="str">
        <f>_xlfn.XLOOKUP(tblStudyData[[#This Row],[Student_ID]],tblStudents[Student_ID],tblStudents[Class],"")</f>
        <v>B</v>
      </c>
      <c r="H11" t="s">
        <v>43</v>
      </c>
      <c r="I11" t="s">
        <v>113</v>
      </c>
      <c r="J11" t="s">
        <v>51</v>
      </c>
      <c r="K11">
        <v>4</v>
      </c>
      <c r="L11">
        <v>2.9</v>
      </c>
      <c r="M11" t="s">
        <v>52</v>
      </c>
      <c r="N11" t="s">
        <v>420</v>
      </c>
      <c r="O11">
        <v>78</v>
      </c>
      <c r="P11" t="s">
        <v>53</v>
      </c>
      <c r="Q11" s="20">
        <f>IF(tblStudyData[[#This Row],[Attendence_Status]]="Present",100%,IF(tblStudyData[[#This Row],[Attendence_Status]]="Late",80%,IF(tblStudyData[[#This Row],[Attendence_Status]]="Absent",0%,"")))</f>
        <v>1</v>
      </c>
      <c r="R11" t="s">
        <v>55</v>
      </c>
      <c r="S11" t="s">
        <v>59</v>
      </c>
      <c r="T11" t="s">
        <v>65</v>
      </c>
      <c r="U11" t="s">
        <v>411</v>
      </c>
      <c r="V11">
        <f>WEEKNUM(tblStudyData[[#This Row],[Date]],2)</f>
        <v>34</v>
      </c>
      <c r="BD11" s="1"/>
      <c r="BE11" s="2"/>
      <c r="BF11" s="1"/>
      <c r="BG11" s="1"/>
      <c r="BH11" s="1"/>
      <c r="BI11" s="1"/>
      <c r="BJ11" s="1"/>
      <c r="BK11" s="1"/>
      <c r="BL11" s="1"/>
      <c r="BM11" s="1"/>
      <c r="BN11" s="1"/>
      <c r="BO11" s="1"/>
      <c r="BP11" s="1"/>
      <c r="BQ11" s="1"/>
      <c r="BR11" s="1"/>
      <c r="BS11" s="1"/>
      <c r="BT11" s="1"/>
      <c r="BU11" s="1"/>
      <c r="BV11" s="1"/>
      <c r="BW11" s="1"/>
      <c r="BX11" s="1"/>
    </row>
    <row r="12" spans="1:76" x14ac:dyDescent="0.3">
      <c r="A12" t="s">
        <v>24</v>
      </c>
      <c r="B12" s="5">
        <v>46245</v>
      </c>
      <c r="C12" t="s">
        <v>70</v>
      </c>
      <c r="D12" t="str">
        <f>_xlfn.XLOOKUP(tblStudyData[[#This Row],[Student_ID]],tblStudents[Student_ID],tblStudents[Student_Name],"")</f>
        <v>Neha</v>
      </c>
      <c r="E12" t="str">
        <f>_xlfn.XLOOKUP(tblStudyData[[#This Row],[Student_ID]],tblStudents[Student_ID],tblStudents[Gender],"")</f>
        <v>Female</v>
      </c>
      <c r="F12">
        <f>_xlfn.XLOOKUP(tblStudyData[[#This Row],[Student_ID]],tblStudents[Student_ID],tblStudents[Grade],"")</f>
        <v>11</v>
      </c>
      <c r="G12" t="str">
        <f>_xlfn.XLOOKUP(tblStudyData[[#This Row],[Student_ID]],tblStudents[Student_ID],tblStudents[Class],"")</f>
        <v>B</v>
      </c>
      <c r="H12" t="s">
        <v>41</v>
      </c>
      <c r="I12" t="s">
        <v>113</v>
      </c>
      <c r="J12" t="s">
        <v>88</v>
      </c>
      <c r="K12">
        <v>1</v>
      </c>
      <c r="L12">
        <v>0.8</v>
      </c>
      <c r="M12" t="s">
        <v>52</v>
      </c>
      <c r="N12" t="s">
        <v>420</v>
      </c>
      <c r="O12">
        <v>80</v>
      </c>
      <c r="P12" t="s">
        <v>53</v>
      </c>
      <c r="Q12" s="20">
        <f>IF(tblStudyData[[#This Row],[Attendence_Status]]="Present",100%,IF(tblStudyData[[#This Row],[Attendence_Status]]="Late",80%,IF(tblStudyData[[#This Row],[Attendence_Status]]="Absent",0%,"")))</f>
        <v>1</v>
      </c>
      <c r="R12" t="s">
        <v>54</v>
      </c>
      <c r="S12" t="s">
        <v>57</v>
      </c>
      <c r="T12" t="s">
        <v>64</v>
      </c>
      <c r="U12" t="s">
        <v>410</v>
      </c>
      <c r="V12">
        <f>WEEKNUM(tblStudyData[[#This Row],[Date]],2)</f>
        <v>33</v>
      </c>
    </row>
    <row r="13" spans="1:76" x14ac:dyDescent="0.3">
      <c r="A13" t="s">
        <v>25</v>
      </c>
      <c r="B13" s="5">
        <v>46242</v>
      </c>
      <c r="C13" t="s">
        <v>69</v>
      </c>
      <c r="D13" t="str">
        <f>_xlfn.XLOOKUP(tblStudyData[[#This Row],[Student_ID]],tblStudents[Student_ID],tblStudents[Student_Name],"")</f>
        <v>Vikaram</v>
      </c>
      <c r="E13" t="str">
        <f>_xlfn.XLOOKUP(tblStudyData[[#This Row],[Student_ID]],tblStudents[Student_ID],tblStudents[Gender],"")</f>
        <v>Male</v>
      </c>
      <c r="F13">
        <f>_xlfn.XLOOKUP(tblStudyData[[#This Row],[Student_ID]],tblStudents[Student_ID],tblStudents[Grade],"")</f>
        <v>10</v>
      </c>
      <c r="G13" t="str">
        <f>_xlfn.XLOOKUP(tblStudyData[[#This Row],[Student_ID]],tblStudents[Student_ID],tblStudents[Class],"")</f>
        <v>B</v>
      </c>
      <c r="H13" t="s">
        <v>43</v>
      </c>
      <c r="I13" t="s">
        <v>101</v>
      </c>
      <c r="J13" t="s">
        <v>88</v>
      </c>
      <c r="K13">
        <v>1</v>
      </c>
      <c r="L13">
        <v>1</v>
      </c>
      <c r="M13" t="s">
        <v>52</v>
      </c>
      <c r="N13" t="s">
        <v>420</v>
      </c>
      <c r="O13">
        <v>72</v>
      </c>
      <c r="P13" t="s">
        <v>412</v>
      </c>
      <c r="Q13" s="20">
        <v>0.88</v>
      </c>
      <c r="R13" t="s">
        <v>56</v>
      </c>
      <c r="S13" t="s">
        <v>57</v>
      </c>
      <c r="T13" t="s">
        <v>63</v>
      </c>
      <c r="U13" t="s">
        <v>413</v>
      </c>
      <c r="V13">
        <f>WEEKNUM(tblStudyData[[#This Row],[Date]],2)</f>
        <v>32</v>
      </c>
    </row>
    <row r="14" spans="1:76" x14ac:dyDescent="0.3">
      <c r="A14" t="s">
        <v>115</v>
      </c>
      <c r="B14" s="5">
        <v>46240</v>
      </c>
      <c r="C14" t="s">
        <v>72</v>
      </c>
      <c r="D14" t="str">
        <f>_xlfn.XLOOKUP(tblStudyData[[#This Row],[Student_ID]],tblStudents[Student_ID],tblStudents[Student_Name],"")</f>
        <v>Pooja</v>
      </c>
      <c r="E14" t="str">
        <f>_xlfn.XLOOKUP(tblStudyData[[#This Row],[Student_ID]],tblStudents[Student_ID],tblStudents[Gender],"")</f>
        <v>Female</v>
      </c>
      <c r="F14">
        <f>_xlfn.XLOOKUP(tblStudyData[[#This Row],[Student_ID]],tblStudents[Student_ID],tblStudents[Grade],"")</f>
        <v>12</v>
      </c>
      <c r="G14" t="str">
        <f>_xlfn.XLOOKUP(tblStudyData[[#This Row],[Student_ID]],tblStudents[Student_ID],tblStudents[Class],"")</f>
        <v>A</v>
      </c>
      <c r="H14" t="s">
        <v>44</v>
      </c>
      <c r="I14" t="s">
        <v>113</v>
      </c>
      <c r="J14" t="s">
        <v>51</v>
      </c>
      <c r="K14">
        <v>1</v>
      </c>
      <c r="L14">
        <v>0.6</v>
      </c>
      <c r="M14" t="s">
        <v>489</v>
      </c>
      <c r="N14" t="s">
        <v>421</v>
      </c>
      <c r="O14">
        <v>78</v>
      </c>
      <c r="P14" t="s">
        <v>412</v>
      </c>
      <c r="Q14" s="20">
        <v>0.75</v>
      </c>
      <c r="R14" t="s">
        <v>55</v>
      </c>
      <c r="S14" t="s">
        <v>58</v>
      </c>
      <c r="T14" t="s">
        <v>63</v>
      </c>
      <c r="U14" t="s">
        <v>413</v>
      </c>
      <c r="V14">
        <f>WEEKNUM(tblStudyData[[#This Row],[Date]],2)</f>
        <v>32</v>
      </c>
    </row>
    <row r="15" spans="1:76" x14ac:dyDescent="0.3">
      <c r="A15" t="s">
        <v>116</v>
      </c>
      <c r="B15" s="5">
        <v>46248</v>
      </c>
      <c r="C15" t="s">
        <v>73</v>
      </c>
      <c r="D15" t="str">
        <f>_xlfn.XLOOKUP(tblStudyData[[#This Row],[Student_ID]],tblStudents[Student_ID],tblStudents[Student_Name],"")</f>
        <v>Naveen</v>
      </c>
      <c r="E15" t="str">
        <f>_xlfn.XLOOKUP(tblStudyData[[#This Row],[Student_ID]],tblStudents[Student_ID],tblStudents[Gender],"")</f>
        <v>Male</v>
      </c>
      <c r="F15">
        <f>_xlfn.XLOOKUP(tblStudyData[[#This Row],[Student_ID]],tblStudents[Student_ID],tblStudents[Grade],"")</f>
        <v>10</v>
      </c>
      <c r="G15" t="str">
        <f>_xlfn.XLOOKUP(tblStudyData[[#This Row],[Student_ID]],tblStudents[Student_ID],tblStudents[Class],"")</f>
        <v>A</v>
      </c>
      <c r="H15" t="s">
        <v>86</v>
      </c>
      <c r="I15" t="s">
        <v>113</v>
      </c>
      <c r="J15" t="s">
        <v>50</v>
      </c>
      <c r="K15">
        <v>4</v>
      </c>
      <c r="L15">
        <v>2.8</v>
      </c>
      <c r="M15" t="s">
        <v>52</v>
      </c>
      <c r="N15" t="s">
        <v>420</v>
      </c>
      <c r="O15">
        <v>83</v>
      </c>
      <c r="P15" t="s">
        <v>53</v>
      </c>
      <c r="Q15" s="20">
        <f>IF(tblStudyData[[#This Row],[Attendence_Status]]="Present",100%,IF(tblStudyData[[#This Row],[Attendence_Status]]="Late",80%,IF(tblStudyData[[#This Row],[Attendence_Status]]="Absent",0%,"")))</f>
        <v>1</v>
      </c>
      <c r="R15" t="s">
        <v>54</v>
      </c>
      <c r="S15" t="s">
        <v>58</v>
      </c>
      <c r="T15" t="s">
        <v>63</v>
      </c>
      <c r="U15" t="s">
        <v>410</v>
      </c>
      <c r="V15">
        <f>WEEKNUM(tblStudyData[[#This Row],[Date]],2)</f>
        <v>33</v>
      </c>
      <c r="AX15" s="3"/>
      <c r="BA15" s="3"/>
    </row>
    <row r="16" spans="1:76" x14ac:dyDescent="0.3">
      <c r="A16" t="s">
        <v>117</v>
      </c>
      <c r="B16" s="5">
        <v>46264</v>
      </c>
      <c r="C16" t="s">
        <v>26</v>
      </c>
      <c r="D16" t="str">
        <f>_xlfn.XLOOKUP(tblStudyData[[#This Row],[Student_ID]],tblStudents[Student_ID],tblStudents[Student_Name],"")</f>
        <v>Rahul</v>
      </c>
      <c r="E16" t="str">
        <f>_xlfn.XLOOKUP(tblStudyData[[#This Row],[Student_ID]],tblStudents[Student_ID],tblStudents[Gender],"")</f>
        <v>Male</v>
      </c>
      <c r="F16">
        <f>_xlfn.XLOOKUP(tblStudyData[[#This Row],[Student_ID]],tblStudents[Student_ID],tblStudents[Grade],"")</f>
        <v>10</v>
      </c>
      <c r="G16" t="str">
        <f>_xlfn.XLOOKUP(tblStudyData[[#This Row],[Student_ID]],tblStudents[Student_ID],tblStudents[Class],"")</f>
        <v>A</v>
      </c>
      <c r="H16" t="s">
        <v>42</v>
      </c>
      <c r="I16" t="s">
        <v>113</v>
      </c>
      <c r="J16" t="s">
        <v>51</v>
      </c>
      <c r="K16">
        <v>2</v>
      </c>
      <c r="L16">
        <v>1.7</v>
      </c>
      <c r="M16" t="s">
        <v>52</v>
      </c>
      <c r="N16" t="s">
        <v>421</v>
      </c>
      <c r="O16">
        <v>45</v>
      </c>
      <c r="P16" t="s">
        <v>409</v>
      </c>
      <c r="Q16" s="20">
        <v>0.8</v>
      </c>
      <c r="R16" t="s">
        <v>56</v>
      </c>
      <c r="S16" t="s">
        <v>59</v>
      </c>
      <c r="T16" t="s">
        <v>61</v>
      </c>
      <c r="U16" t="s">
        <v>411</v>
      </c>
      <c r="V16">
        <f>WEEKNUM(tblStudyData[[#This Row],[Date]],2)</f>
        <v>35</v>
      </c>
    </row>
    <row r="17" spans="1:49" x14ac:dyDescent="0.3">
      <c r="A17" t="s">
        <v>118</v>
      </c>
      <c r="B17" s="5">
        <v>46263</v>
      </c>
      <c r="C17" t="s">
        <v>71</v>
      </c>
      <c r="D17" t="str">
        <f>_xlfn.XLOOKUP(tblStudyData[[#This Row],[Student_ID]],tblStudents[Student_ID],tblStudents[Student_Name],"")</f>
        <v>Sai</v>
      </c>
      <c r="E17" t="str">
        <f>_xlfn.XLOOKUP(tblStudyData[[#This Row],[Student_ID]],tblStudents[Student_ID],tblStudents[Gender],"")</f>
        <v>Male</v>
      </c>
      <c r="F17">
        <f>_xlfn.XLOOKUP(tblStudyData[[#This Row],[Student_ID]],tblStudents[Student_ID],tblStudents[Grade],"")</f>
        <v>9</v>
      </c>
      <c r="G17" t="str">
        <f>_xlfn.XLOOKUP(tblStudyData[[#This Row],[Student_ID]],tblStudents[Student_ID],tblStudents[Class],"")</f>
        <v>B</v>
      </c>
      <c r="H17" t="s">
        <v>44</v>
      </c>
      <c r="I17" t="s">
        <v>113</v>
      </c>
      <c r="J17" t="s">
        <v>51</v>
      </c>
      <c r="K17">
        <v>3</v>
      </c>
      <c r="L17">
        <v>2.8</v>
      </c>
      <c r="M17" t="s">
        <v>52</v>
      </c>
      <c r="N17" t="s">
        <v>420</v>
      </c>
      <c r="O17">
        <v>40</v>
      </c>
      <c r="P17" t="s">
        <v>53</v>
      </c>
      <c r="Q17" s="20">
        <f>IF(tblStudyData[[#This Row],[Attendence_Status]]="Present",100%,IF(tblStudyData[[#This Row],[Attendence_Status]]="Late",80%,IF(tblStudyData[[#This Row],[Attendence_Status]]="Absent",0%,"")))</f>
        <v>1</v>
      </c>
      <c r="R17" t="s">
        <v>55</v>
      </c>
      <c r="S17" t="s">
        <v>59</v>
      </c>
      <c r="T17" t="s">
        <v>61</v>
      </c>
      <c r="U17" t="s">
        <v>414</v>
      </c>
      <c r="V17">
        <f>WEEKNUM(tblStudyData[[#This Row],[Date]],2)</f>
        <v>35</v>
      </c>
    </row>
    <row r="18" spans="1:49" x14ac:dyDescent="0.3">
      <c r="A18" t="s">
        <v>417</v>
      </c>
      <c r="B18" s="5">
        <v>46260</v>
      </c>
      <c r="C18" t="s">
        <v>68</v>
      </c>
      <c r="D18" t="str">
        <f>_xlfn.XLOOKUP(tblStudyData[[#This Row],[Student_ID]],tblStudents[Student_ID],tblStudents[Student_Name],"")</f>
        <v>Divya</v>
      </c>
      <c r="E18" t="str">
        <f>_xlfn.XLOOKUP(tblStudyData[[#This Row],[Student_ID]],tblStudents[Student_ID],tblStudents[Gender],"")</f>
        <v>Female</v>
      </c>
      <c r="F18">
        <f>_xlfn.XLOOKUP(tblStudyData[[#This Row],[Student_ID]],tblStudents[Student_ID],tblStudents[Grade],"")</f>
        <v>12</v>
      </c>
      <c r="G18" t="str">
        <f>_xlfn.XLOOKUP(tblStudyData[[#This Row],[Student_ID]],tblStudents[Student_ID],tblStudents[Class],"")</f>
        <v>B</v>
      </c>
      <c r="H18" t="s">
        <v>86</v>
      </c>
      <c r="I18" t="s">
        <v>112</v>
      </c>
      <c r="J18" t="s">
        <v>88</v>
      </c>
      <c r="K18">
        <v>4</v>
      </c>
      <c r="L18">
        <v>3.5</v>
      </c>
      <c r="M18" t="s">
        <v>489</v>
      </c>
      <c r="N18" t="s">
        <v>420</v>
      </c>
      <c r="O18">
        <v>80</v>
      </c>
      <c r="P18" t="s">
        <v>409</v>
      </c>
      <c r="Q18" s="20">
        <v>0.78</v>
      </c>
      <c r="R18" t="s">
        <v>55</v>
      </c>
      <c r="S18" t="s">
        <v>58</v>
      </c>
      <c r="T18" t="s">
        <v>62</v>
      </c>
      <c r="U18" t="s">
        <v>411</v>
      </c>
      <c r="V18">
        <f>WEEKNUM(tblStudyData[[#This Row],[Date]],2)</f>
        <v>35</v>
      </c>
    </row>
    <row r="19" spans="1:49" x14ac:dyDescent="0.3">
      <c r="A19" t="s">
        <v>119</v>
      </c>
      <c r="B19" s="5">
        <v>46244</v>
      </c>
      <c r="C19" t="s">
        <v>66</v>
      </c>
      <c r="D19" t="str">
        <f>_xlfn.XLOOKUP(tblStudyData[[#This Row],[Student_ID]],tblStudents[Student_ID],tblStudents[Student_Name],"")</f>
        <v>Anjali</v>
      </c>
      <c r="E19" t="str">
        <f>_xlfn.XLOOKUP(tblStudyData[[#This Row],[Student_ID]],tblStudents[Student_ID],tblStudents[Gender],"")</f>
        <v>Female</v>
      </c>
      <c r="F19">
        <f>_xlfn.XLOOKUP(tblStudyData[[#This Row],[Student_ID]],tblStudents[Student_ID],tblStudents[Grade],"")</f>
        <v>11</v>
      </c>
      <c r="G19" t="str">
        <f>_xlfn.XLOOKUP(tblStudyData[[#This Row],[Student_ID]],tblStudents[Student_ID],tblStudents[Class],"")</f>
        <v>A</v>
      </c>
      <c r="H19" t="s">
        <v>43</v>
      </c>
      <c r="I19" t="s">
        <v>113</v>
      </c>
      <c r="J19" t="s">
        <v>49</v>
      </c>
      <c r="K19">
        <v>1</v>
      </c>
      <c r="L19">
        <v>0.9</v>
      </c>
      <c r="M19" t="s">
        <v>52</v>
      </c>
      <c r="N19" t="s">
        <v>420</v>
      </c>
      <c r="O19">
        <v>83</v>
      </c>
      <c r="P19" t="s">
        <v>409</v>
      </c>
      <c r="Q19" s="20">
        <f>IF(tblStudyData[[#This Row],[Attendence_Status]]="Present",100%,IF(tblStudyData[[#This Row],[Attendence_Status]]="Late",80%,IF(tblStudyData[[#This Row],[Attendence_Status]]="Absent",0%,"")))</f>
        <v>0.8</v>
      </c>
      <c r="R19" t="s">
        <v>54</v>
      </c>
      <c r="S19" t="s">
        <v>58</v>
      </c>
      <c r="T19" t="s">
        <v>63</v>
      </c>
      <c r="U19" t="s">
        <v>410</v>
      </c>
      <c r="V19">
        <f>WEEKNUM(tblStudyData[[#This Row],[Date]],2)</f>
        <v>33</v>
      </c>
    </row>
    <row r="20" spans="1:49" x14ac:dyDescent="0.3">
      <c r="A20" t="s">
        <v>120</v>
      </c>
      <c r="B20" s="5">
        <v>46238</v>
      </c>
      <c r="C20" t="s">
        <v>29</v>
      </c>
      <c r="D20" t="str">
        <f>_xlfn.XLOOKUP(tblStudyData[[#This Row],[Student_ID]],tblStudents[Student_ID],tblStudents[Student_Name],"")</f>
        <v>Sneha</v>
      </c>
      <c r="E20" t="str">
        <f>_xlfn.XLOOKUP(tblStudyData[[#This Row],[Student_ID]],tblStudents[Student_ID],tblStudents[Gender],"")</f>
        <v>Female</v>
      </c>
      <c r="F20">
        <f>_xlfn.XLOOKUP(tblStudyData[[#This Row],[Student_ID]],tblStudents[Student_ID],tblStudents[Grade],"")</f>
        <v>0</v>
      </c>
      <c r="G20" t="str">
        <f>_xlfn.XLOOKUP(tblStudyData[[#This Row],[Student_ID]],tblStudents[Student_ID],tblStudents[Class],"")</f>
        <v>B</v>
      </c>
      <c r="H20" t="s">
        <v>42</v>
      </c>
      <c r="I20" t="s">
        <v>113</v>
      </c>
      <c r="J20" t="s">
        <v>88</v>
      </c>
      <c r="K20">
        <v>3</v>
      </c>
      <c r="L20">
        <v>2.1</v>
      </c>
      <c r="M20" t="s">
        <v>52</v>
      </c>
      <c r="N20" t="s">
        <v>420</v>
      </c>
      <c r="O20">
        <v>82</v>
      </c>
      <c r="P20" t="s">
        <v>409</v>
      </c>
      <c r="Q20" s="20">
        <f>IF(tblStudyData[[#This Row],[Attendence_Status]]="Present",100%,IF(tblStudyData[[#This Row],[Attendence_Status]]="Late",80%,IF(tblStudyData[[#This Row],[Attendence_Status]]="Absent",0%,"")))</f>
        <v>0.8</v>
      </c>
      <c r="R20" t="s">
        <v>56</v>
      </c>
      <c r="S20" t="s">
        <v>91</v>
      </c>
      <c r="T20" t="s">
        <v>62</v>
      </c>
      <c r="U20" t="s">
        <v>411</v>
      </c>
      <c r="V20">
        <f>WEEKNUM(tblStudyData[[#This Row],[Date]],2)</f>
        <v>32</v>
      </c>
    </row>
    <row r="21" spans="1:49" x14ac:dyDescent="0.3">
      <c r="A21" t="s">
        <v>121</v>
      </c>
      <c r="B21" s="5">
        <v>46247</v>
      </c>
      <c r="C21" t="s">
        <v>72</v>
      </c>
      <c r="D21" t="str">
        <f>_xlfn.XLOOKUP(tblStudyData[[#This Row],[Student_ID]],tblStudents[Student_ID],tblStudents[Student_Name],"")</f>
        <v>Pooja</v>
      </c>
      <c r="E21" t="str">
        <f>_xlfn.XLOOKUP(tblStudyData[[#This Row],[Student_ID]],tblStudents[Student_ID],tblStudents[Gender],"")</f>
        <v>Female</v>
      </c>
      <c r="F21">
        <f>_xlfn.XLOOKUP(tblStudyData[[#This Row],[Student_ID]],tblStudents[Student_ID],tblStudents[Grade],"")</f>
        <v>12</v>
      </c>
      <c r="G21" t="str">
        <f>_xlfn.XLOOKUP(tblStudyData[[#This Row],[Student_ID]],tblStudents[Student_ID],tblStudents[Class],"")</f>
        <v>A</v>
      </c>
      <c r="H21" t="s">
        <v>44</v>
      </c>
      <c r="I21" t="s">
        <v>113</v>
      </c>
      <c r="J21" t="s">
        <v>49</v>
      </c>
      <c r="K21">
        <v>2</v>
      </c>
      <c r="L21">
        <v>2</v>
      </c>
      <c r="M21" t="s">
        <v>489</v>
      </c>
      <c r="N21" t="s">
        <v>421</v>
      </c>
      <c r="O21">
        <v>93</v>
      </c>
      <c r="P21" t="s">
        <v>53</v>
      </c>
      <c r="Q21" s="20">
        <f>IF(tblStudyData[[#This Row],[Attendence_Status]]="Present",100%,IF(tblStudyData[[#This Row],[Attendence_Status]]="Late",80%,IF(tblStudyData[[#This Row],[Attendence_Status]]="Absent",0%,"")))</f>
        <v>1</v>
      </c>
      <c r="R21" t="s">
        <v>56</v>
      </c>
      <c r="S21" t="s">
        <v>57</v>
      </c>
      <c r="T21" t="s">
        <v>64</v>
      </c>
      <c r="U21" t="s">
        <v>414</v>
      </c>
      <c r="V21">
        <f>WEEKNUM(tblStudyData[[#This Row],[Date]],2)</f>
        <v>33</v>
      </c>
    </row>
    <row r="22" spans="1:49" x14ac:dyDescent="0.3">
      <c r="A22" t="s">
        <v>122</v>
      </c>
      <c r="B22" s="5">
        <v>46258</v>
      </c>
      <c r="C22" t="s">
        <v>28</v>
      </c>
      <c r="D22" t="str">
        <f>_xlfn.XLOOKUP(tblStudyData[[#This Row],[Student_ID]],tblStudents[Student_ID],tblStudents[Student_Name],"")</f>
        <v>Arjun</v>
      </c>
      <c r="E22" t="str">
        <f>_xlfn.XLOOKUP(tblStudyData[[#This Row],[Student_ID]],tblStudents[Student_ID],tblStudents[Gender],"")</f>
        <v>Male</v>
      </c>
      <c r="F22">
        <f>_xlfn.XLOOKUP(tblStudyData[[#This Row],[Student_ID]],tblStudents[Student_ID],tblStudents[Grade],"")</f>
        <v>11</v>
      </c>
      <c r="G22" t="str">
        <f>_xlfn.XLOOKUP(tblStudyData[[#This Row],[Student_ID]],tblStudents[Student_ID],tblStudents[Class],"")</f>
        <v>B</v>
      </c>
      <c r="H22" t="s">
        <v>42</v>
      </c>
      <c r="I22" t="s">
        <v>113</v>
      </c>
      <c r="J22" t="s">
        <v>49</v>
      </c>
      <c r="K22">
        <v>3</v>
      </c>
      <c r="L22">
        <v>1.9</v>
      </c>
      <c r="M22" t="s">
        <v>52</v>
      </c>
      <c r="N22" t="s">
        <v>420</v>
      </c>
      <c r="O22">
        <v>75</v>
      </c>
      <c r="P22" t="s">
        <v>53</v>
      </c>
      <c r="Q22" s="20">
        <f>IF(tblStudyData[[#This Row],[Attendence_Status]]="Present",100%,IF(tblStudyData[[#This Row],[Attendence_Status]]="Late",80%,IF(tblStudyData[[#This Row],[Attendence_Status]]="Absent",0%,"")))</f>
        <v>1</v>
      </c>
      <c r="R22" t="s">
        <v>54</v>
      </c>
      <c r="S22" t="s">
        <v>60</v>
      </c>
      <c r="T22" t="s">
        <v>93</v>
      </c>
      <c r="U22" t="s">
        <v>413</v>
      </c>
      <c r="V22">
        <f>WEEKNUM(tblStudyData[[#This Row],[Date]],2)</f>
        <v>35</v>
      </c>
    </row>
    <row r="23" spans="1:49" x14ac:dyDescent="0.3">
      <c r="A23" t="s">
        <v>123</v>
      </c>
      <c r="B23" s="5">
        <v>46253</v>
      </c>
      <c r="C23" t="s">
        <v>30</v>
      </c>
      <c r="D23" t="str">
        <f>_xlfn.XLOOKUP(tblStudyData[[#This Row],[Student_ID]],tblStudents[Student_ID],tblStudents[Student_Name],"")</f>
        <v>Kiran</v>
      </c>
      <c r="E23" t="str">
        <f>_xlfn.XLOOKUP(tblStudyData[[#This Row],[Student_ID]],tblStudents[Student_ID],tblStudents[Gender],"")</f>
        <v>Male</v>
      </c>
      <c r="F23">
        <f>_xlfn.XLOOKUP(tblStudyData[[#This Row],[Student_ID]],tblStudents[Student_ID],tblStudents[Grade],"")</f>
        <v>12</v>
      </c>
      <c r="G23" t="str">
        <f>_xlfn.XLOOKUP(tblStudyData[[#This Row],[Student_ID]],tblStudents[Student_ID],tblStudents[Class],"")</f>
        <v>A</v>
      </c>
      <c r="H23" t="s">
        <v>42</v>
      </c>
      <c r="I23" t="s">
        <v>113</v>
      </c>
      <c r="J23" t="s">
        <v>50</v>
      </c>
      <c r="K23">
        <v>3</v>
      </c>
      <c r="L23">
        <v>2.1</v>
      </c>
      <c r="M23" t="s">
        <v>52</v>
      </c>
      <c r="N23" t="s">
        <v>420</v>
      </c>
      <c r="O23">
        <v>90</v>
      </c>
      <c r="P23" t="s">
        <v>409</v>
      </c>
      <c r="Q23" s="20">
        <f>IF(tblStudyData[[#This Row],[Attendence_Status]]="Present",100%,IF(tblStudyData[[#This Row],[Attendence_Status]]="Late",80%,IF(tblStudyData[[#This Row],[Attendence_Status]]="Absent",0%,"")))</f>
        <v>0.8</v>
      </c>
      <c r="R23" t="s">
        <v>55</v>
      </c>
      <c r="S23" t="s">
        <v>59</v>
      </c>
      <c r="T23" t="s">
        <v>62</v>
      </c>
      <c r="U23" t="s">
        <v>411</v>
      </c>
      <c r="V23">
        <f>WEEKNUM(tblStudyData[[#This Row],[Date]],2)</f>
        <v>34</v>
      </c>
    </row>
    <row r="24" spans="1:49" x14ac:dyDescent="0.3">
      <c r="A24" t="s">
        <v>124</v>
      </c>
      <c r="B24" s="5">
        <v>46235</v>
      </c>
      <c r="C24" t="s">
        <v>74</v>
      </c>
      <c r="D24" t="str">
        <f>_xlfn.XLOOKUP(tblStudyData[[#This Row],[Student_ID]],tblStudents[Student_ID],tblStudents[Student_Name],"")</f>
        <v>Kavya</v>
      </c>
      <c r="E24" t="str">
        <f>_xlfn.XLOOKUP(tblStudyData[[#This Row],[Student_ID]],tblStudents[Student_ID],tblStudents[Gender],"")</f>
        <v>Female</v>
      </c>
      <c r="F24">
        <f>_xlfn.XLOOKUP(tblStudyData[[#This Row],[Student_ID]],tblStudents[Student_ID],tblStudents[Grade],"")</f>
        <v>11</v>
      </c>
      <c r="G24" t="str">
        <f>_xlfn.XLOOKUP(tblStudyData[[#This Row],[Student_ID]],tblStudents[Student_ID],tblStudents[Class],"")</f>
        <v>A</v>
      </c>
      <c r="H24" t="s">
        <v>86</v>
      </c>
      <c r="I24" t="s">
        <v>113</v>
      </c>
      <c r="J24" t="s">
        <v>88</v>
      </c>
      <c r="K24">
        <v>4</v>
      </c>
      <c r="L24">
        <v>3</v>
      </c>
      <c r="M24" t="s">
        <v>489</v>
      </c>
      <c r="N24" t="s">
        <v>421</v>
      </c>
      <c r="O24">
        <v>69</v>
      </c>
      <c r="P24" t="s">
        <v>53</v>
      </c>
      <c r="Q24" s="20">
        <f>IF(tblStudyData[[#This Row],[Attendence_Status]]="Present",100%,IF(tblStudyData[[#This Row],[Attendence_Status]]="Late",80%,IF(tblStudyData[[#This Row],[Attendence_Status]]="Absent",0%,"")))</f>
        <v>1</v>
      </c>
      <c r="R24" t="s">
        <v>55</v>
      </c>
      <c r="S24" t="s">
        <v>57</v>
      </c>
      <c r="T24" t="s">
        <v>65</v>
      </c>
      <c r="U24" t="s">
        <v>413</v>
      </c>
      <c r="V24">
        <f>WEEKNUM(tblStudyData[[#This Row],[Date]],2)</f>
        <v>31</v>
      </c>
    </row>
    <row r="25" spans="1:49" x14ac:dyDescent="0.3">
      <c r="A25" t="s">
        <v>125</v>
      </c>
      <c r="B25" s="5">
        <v>46245</v>
      </c>
      <c r="C25" t="s">
        <v>75</v>
      </c>
      <c r="D25" t="str">
        <f>_xlfn.XLOOKUP(tblStudyData[[#This Row],[Student_ID]],tblStudents[Student_ID],tblStudents[Student_Name],"")</f>
        <v>Akhil</v>
      </c>
      <c r="E25" t="str">
        <f>_xlfn.XLOOKUP(tblStudyData[[#This Row],[Student_ID]],tblStudents[Student_ID],tblStudents[Gender],"")</f>
        <v>Male</v>
      </c>
      <c r="F25">
        <f>_xlfn.XLOOKUP(tblStudyData[[#This Row],[Student_ID]],tblStudents[Student_ID],tblStudents[Grade],"")</f>
        <v>9</v>
      </c>
      <c r="G25" t="str">
        <f>_xlfn.XLOOKUP(tblStudyData[[#This Row],[Student_ID]],tblStudents[Student_ID],tblStudents[Class],"")</f>
        <v>A</v>
      </c>
      <c r="H25" t="s">
        <v>41</v>
      </c>
      <c r="I25" t="s">
        <v>113</v>
      </c>
      <c r="J25" t="s">
        <v>88</v>
      </c>
      <c r="K25">
        <v>2</v>
      </c>
      <c r="L25">
        <v>2</v>
      </c>
      <c r="M25" t="s">
        <v>52</v>
      </c>
      <c r="N25" t="s">
        <v>420</v>
      </c>
      <c r="O25">
        <v>95</v>
      </c>
      <c r="P25" t="s">
        <v>53</v>
      </c>
      <c r="Q25" s="20">
        <f>IF(tblStudyData[[#This Row],[Attendence_Status]]="Present",100%,IF(tblStudyData[[#This Row],[Attendence_Status]]="Late",80%,IF(tblStudyData[[#This Row],[Attendence_Status]]="Absent",0%,"")))</f>
        <v>1</v>
      </c>
      <c r="R25" t="s">
        <v>56</v>
      </c>
      <c r="S25" t="s">
        <v>58</v>
      </c>
      <c r="T25" t="s">
        <v>65</v>
      </c>
      <c r="U25" t="s">
        <v>410</v>
      </c>
      <c r="V25">
        <f>WEEKNUM(tblStudyData[[#This Row],[Date]],2)</f>
        <v>33</v>
      </c>
    </row>
    <row r="26" spans="1:49" x14ac:dyDescent="0.3">
      <c r="A26" t="s">
        <v>126</v>
      </c>
      <c r="B26" s="5">
        <v>46236</v>
      </c>
      <c r="C26" t="s">
        <v>73</v>
      </c>
      <c r="D26" t="str">
        <f>_xlfn.XLOOKUP(tblStudyData[[#This Row],[Student_ID]],tblStudents[Student_ID],tblStudents[Student_Name],"")</f>
        <v>Naveen</v>
      </c>
      <c r="E26" t="str">
        <f>_xlfn.XLOOKUP(tblStudyData[[#This Row],[Student_ID]],tblStudents[Student_ID],tblStudents[Gender],"")</f>
        <v>Male</v>
      </c>
      <c r="F26">
        <f>_xlfn.XLOOKUP(tblStudyData[[#This Row],[Student_ID]],tblStudents[Student_ID],tblStudents[Grade],"")</f>
        <v>10</v>
      </c>
      <c r="G26" t="str">
        <f>_xlfn.XLOOKUP(tblStudyData[[#This Row],[Student_ID]],tblStudents[Student_ID],tblStudents[Class],"")</f>
        <v>A</v>
      </c>
      <c r="H26" t="s">
        <v>40</v>
      </c>
      <c r="I26" t="s">
        <v>113</v>
      </c>
      <c r="J26" t="s">
        <v>88</v>
      </c>
      <c r="K26">
        <v>3</v>
      </c>
      <c r="L26">
        <v>2.9</v>
      </c>
      <c r="M26" t="s">
        <v>52</v>
      </c>
      <c r="N26" t="s">
        <v>420</v>
      </c>
      <c r="O26">
        <v>87</v>
      </c>
      <c r="P26" t="s">
        <v>409</v>
      </c>
      <c r="Q26" s="20">
        <f>IF(tblStudyData[[#This Row],[Attendence_Status]]="Present",100%,IF(tblStudyData[[#This Row],[Attendence_Status]]="Late",80%,IF(tblStudyData[[#This Row],[Attendence_Status]]="Absent",0%,"")))</f>
        <v>0.8</v>
      </c>
      <c r="R26" t="s">
        <v>54</v>
      </c>
      <c r="S26" t="s">
        <v>59</v>
      </c>
      <c r="T26" t="s">
        <v>62</v>
      </c>
      <c r="U26" t="s">
        <v>410</v>
      </c>
      <c r="V26">
        <f>WEEKNUM(tblStudyData[[#This Row],[Date]],2)</f>
        <v>31</v>
      </c>
      <c r="AW26" s="3"/>
    </row>
    <row r="27" spans="1:49" x14ac:dyDescent="0.3">
      <c r="A27" t="s">
        <v>127</v>
      </c>
      <c r="B27" s="5">
        <v>46252</v>
      </c>
      <c r="C27" t="s">
        <v>29</v>
      </c>
      <c r="D27" t="str">
        <f>_xlfn.XLOOKUP(tblStudyData[[#This Row],[Student_ID]],tblStudents[Student_ID],tblStudents[Student_Name],"")</f>
        <v>Sneha</v>
      </c>
      <c r="E27" t="str">
        <f>_xlfn.XLOOKUP(tblStudyData[[#This Row],[Student_ID]],tblStudents[Student_ID],tblStudents[Gender],"")</f>
        <v>Female</v>
      </c>
      <c r="F27">
        <f>_xlfn.XLOOKUP(tblStudyData[[#This Row],[Student_ID]],tblStudents[Student_ID],tblStudents[Grade],"")</f>
        <v>0</v>
      </c>
      <c r="G27" t="str">
        <f>_xlfn.XLOOKUP(tblStudyData[[#This Row],[Student_ID]],tblStudents[Student_ID],tblStudents[Class],"")</f>
        <v>B</v>
      </c>
      <c r="H27" t="s">
        <v>44</v>
      </c>
      <c r="I27" t="s">
        <v>113</v>
      </c>
      <c r="J27" t="s">
        <v>88</v>
      </c>
      <c r="K27">
        <v>4</v>
      </c>
      <c r="L27">
        <v>4</v>
      </c>
      <c r="M27" t="s">
        <v>52</v>
      </c>
      <c r="N27" t="s">
        <v>420</v>
      </c>
      <c r="O27">
        <v>76</v>
      </c>
      <c r="P27" t="s">
        <v>53</v>
      </c>
      <c r="Q27" s="20">
        <f>IF(tblStudyData[[#This Row],[Attendence_Status]]="Present",100%,IF(tblStudyData[[#This Row],[Attendence_Status]]="Late",80%,IF(tblStudyData[[#This Row],[Attendence_Status]]="Absent",0%,"")))</f>
        <v>1</v>
      </c>
      <c r="R27" t="s">
        <v>54</v>
      </c>
      <c r="S27" t="s">
        <v>57</v>
      </c>
      <c r="T27" t="s">
        <v>65</v>
      </c>
      <c r="U27" t="s">
        <v>411</v>
      </c>
      <c r="V27">
        <f>WEEKNUM(tblStudyData[[#This Row],[Date]],2)</f>
        <v>34</v>
      </c>
    </row>
    <row r="28" spans="1:49" x14ac:dyDescent="0.3">
      <c r="A28" t="s">
        <v>128</v>
      </c>
      <c r="B28" s="5">
        <v>46257</v>
      </c>
      <c r="C28" t="s">
        <v>30</v>
      </c>
      <c r="D28" t="str">
        <f>_xlfn.XLOOKUP(tblStudyData[[#This Row],[Student_ID]],tblStudents[Student_ID],tblStudents[Student_Name],"")</f>
        <v>Kiran</v>
      </c>
      <c r="E28" t="str">
        <f>_xlfn.XLOOKUP(tblStudyData[[#This Row],[Student_ID]],tblStudents[Student_ID],tblStudents[Gender],"")</f>
        <v>Male</v>
      </c>
      <c r="F28">
        <f>_xlfn.XLOOKUP(tblStudyData[[#This Row],[Student_ID]],tblStudents[Student_ID],tblStudents[Grade],"")</f>
        <v>12</v>
      </c>
      <c r="G28" t="str">
        <f>_xlfn.XLOOKUP(tblStudyData[[#This Row],[Student_ID]],tblStudents[Student_ID],tblStudents[Class],"")</f>
        <v>A</v>
      </c>
      <c r="H28" t="s">
        <v>40</v>
      </c>
      <c r="I28" t="s">
        <v>113</v>
      </c>
      <c r="J28" t="s">
        <v>88</v>
      </c>
      <c r="K28">
        <v>2</v>
      </c>
      <c r="L28">
        <v>1.6</v>
      </c>
      <c r="M28" t="s">
        <v>52</v>
      </c>
      <c r="N28" t="s">
        <v>421</v>
      </c>
      <c r="O28">
        <v>66</v>
      </c>
      <c r="P28" t="s">
        <v>409</v>
      </c>
      <c r="Q28" s="20">
        <f>IF(tblStudyData[[#This Row],[Attendence_Status]]="Present",100%,IF(tblStudyData[[#This Row],[Attendence_Status]]="Late",80%,IF(tblStudyData[[#This Row],[Attendence_Status]]="Absent",0%,"")))</f>
        <v>0.8</v>
      </c>
      <c r="R28" t="s">
        <v>54</v>
      </c>
      <c r="S28" t="s">
        <v>90</v>
      </c>
      <c r="T28" t="s">
        <v>93</v>
      </c>
      <c r="U28" t="s">
        <v>413</v>
      </c>
      <c r="V28">
        <f>WEEKNUM(tblStudyData[[#This Row],[Date]],2)</f>
        <v>34</v>
      </c>
    </row>
    <row r="29" spans="1:49" x14ac:dyDescent="0.3">
      <c r="A29" t="s">
        <v>129</v>
      </c>
      <c r="B29" s="5">
        <v>46236</v>
      </c>
      <c r="C29" t="s">
        <v>66</v>
      </c>
      <c r="D29" t="str">
        <f>_xlfn.XLOOKUP(tblStudyData[[#This Row],[Student_ID]],tblStudents[Student_ID],tblStudents[Student_Name],"")</f>
        <v>Anjali</v>
      </c>
      <c r="E29" t="str">
        <f>_xlfn.XLOOKUP(tblStudyData[[#This Row],[Student_ID]],tblStudents[Student_ID],tblStudents[Gender],"")</f>
        <v>Female</v>
      </c>
      <c r="F29">
        <f>_xlfn.XLOOKUP(tblStudyData[[#This Row],[Student_ID]],tblStudents[Student_ID],tblStudents[Grade],"")</f>
        <v>11</v>
      </c>
      <c r="G29" t="str">
        <f>_xlfn.XLOOKUP(tblStudyData[[#This Row],[Student_ID]],tblStudents[Student_ID],tblStudents[Class],"")</f>
        <v>A</v>
      </c>
      <c r="H29" t="s">
        <v>86</v>
      </c>
      <c r="I29" t="s">
        <v>113</v>
      </c>
      <c r="J29" t="s">
        <v>51</v>
      </c>
      <c r="K29">
        <v>3</v>
      </c>
      <c r="L29">
        <v>2</v>
      </c>
      <c r="M29" t="s">
        <v>52</v>
      </c>
      <c r="N29" t="s">
        <v>420</v>
      </c>
      <c r="O29">
        <v>83</v>
      </c>
      <c r="P29" t="s">
        <v>53</v>
      </c>
      <c r="Q29" s="20">
        <f>IF(tblStudyData[[#This Row],[Attendence_Status]]="Present",100%,IF(tblStudyData[[#This Row],[Attendence_Status]]="Late",80%,IF(tblStudyData[[#This Row],[Attendence_Status]]="Absent",0%,"")))</f>
        <v>1</v>
      </c>
      <c r="R29" t="s">
        <v>54</v>
      </c>
      <c r="S29" t="s">
        <v>57</v>
      </c>
      <c r="T29" t="s">
        <v>64</v>
      </c>
      <c r="U29" t="s">
        <v>410</v>
      </c>
      <c r="V29">
        <f>WEEKNUM(tblStudyData[[#This Row],[Date]],2)</f>
        <v>31</v>
      </c>
    </row>
    <row r="30" spans="1:49" x14ac:dyDescent="0.3">
      <c r="A30" t="s">
        <v>130</v>
      </c>
      <c r="B30" s="5">
        <v>46240</v>
      </c>
      <c r="C30" t="s">
        <v>26</v>
      </c>
      <c r="D30" t="str">
        <f>_xlfn.XLOOKUP(tblStudyData[[#This Row],[Student_ID]],tblStudents[Student_ID],tblStudents[Student_Name],"")</f>
        <v>Rahul</v>
      </c>
      <c r="E30" t="str">
        <f>_xlfn.XLOOKUP(tblStudyData[[#This Row],[Student_ID]],tblStudents[Student_ID],tblStudents[Gender],"")</f>
        <v>Male</v>
      </c>
      <c r="F30">
        <f>_xlfn.XLOOKUP(tblStudyData[[#This Row],[Student_ID]],tblStudents[Student_ID],tblStudents[Grade],"")</f>
        <v>10</v>
      </c>
      <c r="G30" t="str">
        <f>_xlfn.XLOOKUP(tblStudyData[[#This Row],[Student_ID]],tblStudents[Student_ID],tblStudents[Class],"")</f>
        <v>A</v>
      </c>
      <c r="H30" t="s">
        <v>41</v>
      </c>
      <c r="I30" t="s">
        <v>113</v>
      </c>
      <c r="J30" t="s">
        <v>51</v>
      </c>
      <c r="K30">
        <v>1</v>
      </c>
      <c r="L30">
        <v>0.7</v>
      </c>
      <c r="M30" t="s">
        <v>52</v>
      </c>
      <c r="N30" t="s">
        <v>420</v>
      </c>
      <c r="O30">
        <v>91</v>
      </c>
      <c r="P30" t="s">
        <v>409</v>
      </c>
      <c r="Q30" s="20">
        <f>IF(tblStudyData[[#This Row],[Attendence_Status]]="Present",100%,IF(tblStudyData[[#This Row],[Attendence_Status]]="Late",80%,IF(tblStudyData[[#This Row],[Attendence_Status]]="Absent",0%,"")))</f>
        <v>0.8</v>
      </c>
      <c r="R30" t="s">
        <v>55</v>
      </c>
      <c r="S30" t="s">
        <v>91</v>
      </c>
      <c r="T30" t="s">
        <v>64</v>
      </c>
      <c r="U30" t="s">
        <v>410</v>
      </c>
      <c r="V30">
        <f>WEEKNUM(tblStudyData[[#This Row],[Date]],2)</f>
        <v>32</v>
      </c>
    </row>
    <row r="31" spans="1:49" x14ac:dyDescent="0.3">
      <c r="A31" t="s">
        <v>131</v>
      </c>
      <c r="B31" s="5">
        <v>46237</v>
      </c>
      <c r="C31" t="s">
        <v>29</v>
      </c>
      <c r="D31" t="str">
        <f>_xlfn.XLOOKUP(tblStudyData[[#This Row],[Student_ID]],tblStudents[Student_ID],tblStudents[Student_Name],"")</f>
        <v>Sneha</v>
      </c>
      <c r="E31" t="str">
        <f>_xlfn.XLOOKUP(tblStudyData[[#This Row],[Student_ID]],tblStudents[Student_ID],tblStudents[Gender],"")</f>
        <v>Female</v>
      </c>
      <c r="F31">
        <f>_xlfn.XLOOKUP(tblStudyData[[#This Row],[Student_ID]],tblStudents[Student_ID],tblStudents[Grade],"")</f>
        <v>0</v>
      </c>
      <c r="G31" t="str">
        <f>_xlfn.XLOOKUP(tblStudyData[[#This Row],[Student_ID]],tblStudents[Student_ID],tblStudents[Class],"")</f>
        <v>B</v>
      </c>
      <c r="H31" t="s">
        <v>42</v>
      </c>
      <c r="I31" t="s">
        <v>113</v>
      </c>
      <c r="J31" t="s">
        <v>50</v>
      </c>
      <c r="K31">
        <v>4</v>
      </c>
      <c r="L31">
        <v>3.7</v>
      </c>
      <c r="M31" t="s">
        <v>52</v>
      </c>
      <c r="N31" t="s">
        <v>420</v>
      </c>
      <c r="O31">
        <v>91</v>
      </c>
      <c r="P31" t="s">
        <v>412</v>
      </c>
      <c r="Q31" s="20">
        <v>1</v>
      </c>
      <c r="R31" t="s">
        <v>55</v>
      </c>
      <c r="S31" t="s">
        <v>57</v>
      </c>
      <c r="T31" t="s">
        <v>65</v>
      </c>
      <c r="U31" t="s">
        <v>413</v>
      </c>
      <c r="V31">
        <f>WEEKNUM(tblStudyData[[#This Row],[Date]],2)</f>
        <v>32</v>
      </c>
    </row>
    <row r="32" spans="1:49" x14ac:dyDescent="0.3">
      <c r="A32" t="s">
        <v>132</v>
      </c>
      <c r="B32" s="5">
        <v>46253</v>
      </c>
      <c r="C32" t="s">
        <v>66</v>
      </c>
      <c r="D32" t="str">
        <f>_xlfn.XLOOKUP(tblStudyData[[#This Row],[Student_ID]],tblStudents[Student_ID],tblStudents[Student_Name],"")</f>
        <v>Anjali</v>
      </c>
      <c r="E32" t="str">
        <f>_xlfn.XLOOKUP(tblStudyData[[#This Row],[Student_ID]],tblStudents[Student_ID],tblStudents[Gender],"")</f>
        <v>Female</v>
      </c>
      <c r="F32">
        <f>_xlfn.XLOOKUP(tblStudyData[[#This Row],[Student_ID]],tblStudents[Student_ID],tblStudents[Grade],"")</f>
        <v>11</v>
      </c>
      <c r="G32" t="str">
        <f>_xlfn.XLOOKUP(tblStudyData[[#This Row],[Student_ID]],tblStudents[Student_ID],tblStudents[Class],"")</f>
        <v>A</v>
      </c>
      <c r="H32" t="s">
        <v>41</v>
      </c>
      <c r="I32" t="s">
        <v>113</v>
      </c>
      <c r="J32" t="s">
        <v>49</v>
      </c>
      <c r="K32">
        <v>3</v>
      </c>
      <c r="L32">
        <v>2.1</v>
      </c>
      <c r="M32" t="s">
        <v>52</v>
      </c>
      <c r="N32" t="s">
        <v>420</v>
      </c>
      <c r="O32">
        <v>61</v>
      </c>
      <c r="P32" t="s">
        <v>412</v>
      </c>
      <c r="Q32" s="20">
        <v>0.88</v>
      </c>
      <c r="R32" t="s">
        <v>56</v>
      </c>
      <c r="S32" t="s">
        <v>91</v>
      </c>
      <c r="T32" t="s">
        <v>64</v>
      </c>
      <c r="U32" t="s">
        <v>413</v>
      </c>
      <c r="V32">
        <f>WEEKNUM(tblStudyData[[#This Row],[Date]],2)</f>
        <v>34</v>
      </c>
    </row>
    <row r="33" spans="1:22" x14ac:dyDescent="0.3">
      <c r="A33" t="s">
        <v>133</v>
      </c>
      <c r="B33" s="5">
        <v>46259</v>
      </c>
      <c r="C33" t="s">
        <v>72</v>
      </c>
      <c r="D33" t="str">
        <f>_xlfn.XLOOKUP(tblStudyData[[#This Row],[Student_ID]],tblStudents[Student_ID],tblStudents[Student_Name],"")</f>
        <v>Pooja</v>
      </c>
      <c r="E33" t="str">
        <f>_xlfn.XLOOKUP(tblStudyData[[#This Row],[Student_ID]],tblStudents[Student_ID],tblStudents[Gender],"")</f>
        <v>Female</v>
      </c>
      <c r="F33">
        <f>_xlfn.XLOOKUP(tblStudyData[[#This Row],[Student_ID]],tblStudents[Student_ID],tblStudents[Grade],"")</f>
        <v>12</v>
      </c>
      <c r="G33" t="str">
        <f>_xlfn.XLOOKUP(tblStudyData[[#This Row],[Student_ID]],tblStudents[Student_ID],tblStudents[Class],"")</f>
        <v>A</v>
      </c>
      <c r="H33" t="s">
        <v>42</v>
      </c>
      <c r="I33" t="s">
        <v>113</v>
      </c>
      <c r="J33" t="s">
        <v>88</v>
      </c>
      <c r="K33">
        <v>4</v>
      </c>
      <c r="L33">
        <v>2.6</v>
      </c>
      <c r="M33" t="s">
        <v>52</v>
      </c>
      <c r="N33" t="s">
        <v>420</v>
      </c>
      <c r="O33">
        <v>85</v>
      </c>
      <c r="P33" t="s">
        <v>412</v>
      </c>
      <c r="Q33" s="20">
        <v>1</v>
      </c>
      <c r="R33" t="s">
        <v>56</v>
      </c>
      <c r="S33" t="s">
        <v>58</v>
      </c>
      <c r="T33" t="s">
        <v>64</v>
      </c>
      <c r="U33" t="s">
        <v>413</v>
      </c>
      <c r="V33">
        <f>WEEKNUM(tblStudyData[[#This Row],[Date]],2)</f>
        <v>35</v>
      </c>
    </row>
    <row r="34" spans="1:22" x14ac:dyDescent="0.3">
      <c r="A34" t="s">
        <v>134</v>
      </c>
      <c r="B34" s="5">
        <v>46256</v>
      </c>
      <c r="C34" t="s">
        <v>30</v>
      </c>
      <c r="D34" t="str">
        <f>_xlfn.XLOOKUP(tblStudyData[[#This Row],[Student_ID]],tblStudents[Student_ID],tblStudents[Student_Name],"")</f>
        <v>Kiran</v>
      </c>
      <c r="E34" t="str">
        <f>_xlfn.XLOOKUP(tblStudyData[[#This Row],[Student_ID]],tblStudents[Student_ID],tblStudents[Gender],"")</f>
        <v>Male</v>
      </c>
      <c r="F34">
        <f>_xlfn.XLOOKUP(tblStudyData[[#This Row],[Student_ID]],tblStudents[Student_ID],tblStudents[Grade],"")</f>
        <v>12</v>
      </c>
      <c r="G34" t="str">
        <f>_xlfn.XLOOKUP(tblStudyData[[#This Row],[Student_ID]],tblStudents[Student_ID],tblStudents[Class],"")</f>
        <v>A</v>
      </c>
      <c r="H34" t="s">
        <v>41</v>
      </c>
      <c r="I34" t="s">
        <v>113</v>
      </c>
      <c r="J34" t="s">
        <v>50</v>
      </c>
      <c r="K34">
        <v>1</v>
      </c>
      <c r="L34">
        <v>0.6</v>
      </c>
      <c r="M34" t="s">
        <v>52</v>
      </c>
      <c r="N34" t="s">
        <v>420</v>
      </c>
      <c r="O34">
        <v>84</v>
      </c>
      <c r="P34" t="s">
        <v>412</v>
      </c>
      <c r="Q34" s="20">
        <v>0.78</v>
      </c>
      <c r="R34" t="s">
        <v>56</v>
      </c>
      <c r="S34" t="s">
        <v>90</v>
      </c>
      <c r="T34" t="s">
        <v>65</v>
      </c>
      <c r="U34" t="s">
        <v>413</v>
      </c>
      <c r="V34">
        <f>WEEKNUM(tblStudyData[[#This Row],[Date]],2)</f>
        <v>34</v>
      </c>
    </row>
    <row r="35" spans="1:22" x14ac:dyDescent="0.3">
      <c r="A35" t="s">
        <v>135</v>
      </c>
      <c r="B35" s="5">
        <v>46253</v>
      </c>
      <c r="C35" t="s">
        <v>66</v>
      </c>
      <c r="D35" t="str">
        <f>_xlfn.XLOOKUP(tblStudyData[[#This Row],[Student_ID]],tblStudents[Student_ID],tblStudents[Student_Name],"")</f>
        <v>Anjali</v>
      </c>
      <c r="E35" t="str">
        <f>_xlfn.XLOOKUP(tblStudyData[[#This Row],[Student_ID]],tblStudents[Student_ID],tblStudents[Gender],"")</f>
        <v>Female</v>
      </c>
      <c r="F35">
        <f>_xlfn.XLOOKUP(tblStudyData[[#This Row],[Student_ID]],tblStudents[Student_ID],tblStudents[Grade],"")</f>
        <v>11</v>
      </c>
      <c r="G35" t="str">
        <f>_xlfn.XLOOKUP(tblStudyData[[#This Row],[Student_ID]],tblStudents[Student_ID],tblStudents[Class],"")</f>
        <v>A</v>
      </c>
      <c r="H35" t="s">
        <v>44</v>
      </c>
      <c r="I35" t="s">
        <v>113</v>
      </c>
      <c r="J35" s="21" t="s">
        <v>49</v>
      </c>
      <c r="K35">
        <v>1</v>
      </c>
      <c r="L35">
        <v>0.8</v>
      </c>
      <c r="M35" t="s">
        <v>52</v>
      </c>
      <c r="N35" t="s">
        <v>420</v>
      </c>
      <c r="O35">
        <v>82</v>
      </c>
      <c r="P35" t="s">
        <v>409</v>
      </c>
      <c r="Q35" s="20">
        <f>IF(tblStudyData[[#This Row],[Attendence_Status]]="Present",100%,IF(tblStudyData[[#This Row],[Attendence_Status]]="Late",80%,IF(tblStudyData[[#This Row],[Attendence_Status]]="Absent",0%,"")))</f>
        <v>0.8</v>
      </c>
      <c r="R35" t="s">
        <v>56</v>
      </c>
      <c r="S35" t="s">
        <v>91</v>
      </c>
      <c r="T35" t="s">
        <v>61</v>
      </c>
      <c r="U35" t="s">
        <v>411</v>
      </c>
      <c r="V35">
        <f>WEEKNUM(tblStudyData[[#This Row],[Date]],2)</f>
        <v>34</v>
      </c>
    </row>
    <row r="36" spans="1:22" x14ac:dyDescent="0.3">
      <c r="A36" t="s">
        <v>136</v>
      </c>
      <c r="B36" s="5">
        <v>46251</v>
      </c>
      <c r="C36" t="s">
        <v>75</v>
      </c>
      <c r="D36" t="str">
        <f>_xlfn.XLOOKUP(tblStudyData[[#This Row],[Student_ID]],tblStudents[Student_ID],tblStudents[Student_Name],"")</f>
        <v>Akhil</v>
      </c>
      <c r="E36" t="str">
        <f>_xlfn.XLOOKUP(tblStudyData[[#This Row],[Student_ID]],tblStudents[Student_ID],tblStudents[Gender],"")</f>
        <v>Male</v>
      </c>
      <c r="F36">
        <f>_xlfn.XLOOKUP(tblStudyData[[#This Row],[Student_ID]],tblStudents[Student_ID],tblStudents[Grade],"")</f>
        <v>9</v>
      </c>
      <c r="G36" t="str">
        <f>_xlfn.XLOOKUP(tblStudyData[[#This Row],[Student_ID]],tblStudents[Student_ID],tblStudents[Class],"")</f>
        <v>A</v>
      </c>
      <c r="H36" t="s">
        <v>42</v>
      </c>
      <c r="I36" t="s">
        <v>113</v>
      </c>
      <c r="J36" t="s">
        <v>51</v>
      </c>
      <c r="K36">
        <v>2</v>
      </c>
      <c r="L36">
        <v>1.5</v>
      </c>
      <c r="M36" t="s">
        <v>52</v>
      </c>
      <c r="N36" t="s">
        <v>420</v>
      </c>
      <c r="O36">
        <v>85</v>
      </c>
      <c r="P36" t="s">
        <v>412</v>
      </c>
      <c r="Q36" s="20">
        <v>1</v>
      </c>
      <c r="R36" t="s">
        <v>56</v>
      </c>
      <c r="S36" t="s">
        <v>60</v>
      </c>
      <c r="T36" t="s">
        <v>64</v>
      </c>
      <c r="U36" t="s">
        <v>413</v>
      </c>
      <c r="V36">
        <f>WEEKNUM(tblStudyData[[#This Row],[Date]],2)</f>
        <v>34</v>
      </c>
    </row>
    <row r="37" spans="1:22" x14ac:dyDescent="0.3">
      <c r="A37" t="s">
        <v>137</v>
      </c>
      <c r="B37" s="5">
        <v>46244</v>
      </c>
      <c r="C37" t="s">
        <v>26</v>
      </c>
      <c r="D37" t="str">
        <f>_xlfn.XLOOKUP(tblStudyData[[#This Row],[Student_ID]],tblStudents[Student_ID],tblStudents[Student_Name],"")</f>
        <v>Rahul</v>
      </c>
      <c r="E37" t="str">
        <f>_xlfn.XLOOKUP(tblStudyData[[#This Row],[Student_ID]],tblStudents[Student_ID],tblStudents[Gender],"")</f>
        <v>Male</v>
      </c>
      <c r="F37">
        <f>_xlfn.XLOOKUP(tblStudyData[[#This Row],[Student_ID]],tblStudents[Student_ID],tblStudents[Grade],"")</f>
        <v>10</v>
      </c>
      <c r="G37" t="str">
        <f>_xlfn.XLOOKUP(tblStudyData[[#This Row],[Student_ID]],tblStudents[Student_ID],tblStudents[Class],"")</f>
        <v>A</v>
      </c>
      <c r="H37" t="s">
        <v>40</v>
      </c>
      <c r="I37" t="s">
        <v>113</v>
      </c>
      <c r="J37" t="s">
        <v>50</v>
      </c>
      <c r="K37">
        <v>1</v>
      </c>
      <c r="L37">
        <v>0.6</v>
      </c>
      <c r="M37" t="s">
        <v>52</v>
      </c>
      <c r="N37" t="s">
        <v>420</v>
      </c>
      <c r="O37">
        <v>83</v>
      </c>
      <c r="P37" t="s">
        <v>412</v>
      </c>
      <c r="Q37" s="20">
        <v>0.78</v>
      </c>
      <c r="R37" t="s">
        <v>55</v>
      </c>
      <c r="S37" t="s">
        <v>58</v>
      </c>
      <c r="T37" t="s">
        <v>63</v>
      </c>
      <c r="U37" t="s">
        <v>413</v>
      </c>
      <c r="V37">
        <f>WEEKNUM(tblStudyData[[#This Row],[Date]],2)</f>
        <v>33</v>
      </c>
    </row>
    <row r="38" spans="1:22" x14ac:dyDescent="0.3">
      <c r="A38" t="s">
        <v>138</v>
      </c>
      <c r="B38" s="5">
        <v>46238</v>
      </c>
      <c r="C38" t="s">
        <v>67</v>
      </c>
      <c r="D38" t="str">
        <f>_xlfn.XLOOKUP(tblStudyData[[#This Row],[Student_ID]],tblStudents[Student_ID],tblStudents[Student_Name],"")</f>
        <v>Rohit</v>
      </c>
      <c r="E38" t="str">
        <f>_xlfn.XLOOKUP(tblStudyData[[#This Row],[Student_ID]],tblStudents[Student_ID],tblStudents[Gender],"")</f>
        <v>Male</v>
      </c>
      <c r="F38">
        <f>_xlfn.XLOOKUP(tblStudyData[[#This Row],[Student_ID]],tblStudents[Student_ID],tblStudents[Grade],"")</f>
        <v>9</v>
      </c>
      <c r="G38" t="str">
        <f>_xlfn.XLOOKUP(tblStudyData[[#This Row],[Student_ID]],tblStudents[Student_ID],tblStudents[Class],"")</f>
        <v>A</v>
      </c>
      <c r="H38" t="s">
        <v>42</v>
      </c>
      <c r="I38" t="s">
        <v>113</v>
      </c>
      <c r="J38" t="s">
        <v>88</v>
      </c>
      <c r="K38">
        <v>2</v>
      </c>
      <c r="L38">
        <v>1.7</v>
      </c>
      <c r="M38" t="s">
        <v>52</v>
      </c>
      <c r="N38" t="s">
        <v>420</v>
      </c>
      <c r="O38">
        <v>86</v>
      </c>
      <c r="P38" t="s">
        <v>53</v>
      </c>
      <c r="Q38" s="20">
        <f>IF(tblStudyData[[#This Row],[Attendence_Status]]="Present",100%,IF(tblStudyData[[#This Row],[Attendence_Status]]="Late",80%,IF(tblStudyData[[#This Row],[Attendence_Status]]="Absent",0%,"")))</f>
        <v>1</v>
      </c>
      <c r="R38" t="s">
        <v>56</v>
      </c>
      <c r="S38" t="s">
        <v>57</v>
      </c>
      <c r="T38" t="s">
        <v>61</v>
      </c>
      <c r="U38" t="s">
        <v>410</v>
      </c>
      <c r="V38">
        <f>WEEKNUM(tblStudyData[[#This Row],[Date]],2)</f>
        <v>32</v>
      </c>
    </row>
    <row r="39" spans="1:22" x14ac:dyDescent="0.3">
      <c r="A39" t="s">
        <v>139</v>
      </c>
      <c r="B39" s="5">
        <v>46238</v>
      </c>
      <c r="C39" t="s">
        <v>73</v>
      </c>
      <c r="D39" t="str">
        <f>_xlfn.XLOOKUP(tblStudyData[[#This Row],[Student_ID]],tblStudents[Student_ID],tblStudents[Student_Name],"")</f>
        <v>Naveen</v>
      </c>
      <c r="E39" t="str">
        <f>_xlfn.XLOOKUP(tblStudyData[[#This Row],[Student_ID]],tblStudents[Student_ID],tblStudents[Gender],"")</f>
        <v>Male</v>
      </c>
      <c r="F39">
        <f>_xlfn.XLOOKUP(tblStudyData[[#This Row],[Student_ID]],tblStudents[Student_ID],tblStudents[Grade],"")</f>
        <v>10</v>
      </c>
      <c r="G39" t="str">
        <f>_xlfn.XLOOKUP(tblStudyData[[#This Row],[Student_ID]],tblStudents[Student_ID],tblStudents[Class],"")</f>
        <v>A</v>
      </c>
      <c r="H39" t="s">
        <v>43</v>
      </c>
      <c r="I39" t="s">
        <v>113</v>
      </c>
      <c r="J39" t="s">
        <v>88</v>
      </c>
      <c r="K39">
        <v>2</v>
      </c>
      <c r="L39">
        <v>1.5</v>
      </c>
      <c r="M39" t="s">
        <v>52</v>
      </c>
      <c r="N39" t="s">
        <v>420</v>
      </c>
      <c r="O39">
        <v>77</v>
      </c>
      <c r="P39" t="s">
        <v>409</v>
      </c>
      <c r="Q39" s="20">
        <f>IF(tblStudyData[[#This Row],[Attendence_Status]]="Present",100%,IF(tblStudyData[[#This Row],[Attendence_Status]]="Late",80%,IF(tblStudyData[[#This Row],[Attendence_Status]]="Absent",0%,"")))</f>
        <v>0.8</v>
      </c>
      <c r="R39" t="s">
        <v>56</v>
      </c>
      <c r="S39" t="s">
        <v>90</v>
      </c>
      <c r="T39" t="s">
        <v>62</v>
      </c>
      <c r="U39" t="s">
        <v>411</v>
      </c>
      <c r="V39">
        <f>WEEKNUM(tblStudyData[[#This Row],[Date]],2)</f>
        <v>32</v>
      </c>
    </row>
    <row r="40" spans="1:22" x14ac:dyDescent="0.3">
      <c r="A40" t="s">
        <v>140</v>
      </c>
      <c r="B40" s="5">
        <v>46253</v>
      </c>
      <c r="C40" t="s">
        <v>72</v>
      </c>
      <c r="D40" t="str">
        <f>_xlfn.XLOOKUP(tblStudyData[[#This Row],[Student_ID]],tblStudents[Student_ID],tblStudents[Student_Name],"")</f>
        <v>Pooja</v>
      </c>
      <c r="E40" t="str">
        <f>_xlfn.XLOOKUP(tblStudyData[[#This Row],[Student_ID]],tblStudents[Student_ID],tblStudents[Gender],"")</f>
        <v>Female</v>
      </c>
      <c r="F40">
        <f>_xlfn.XLOOKUP(tblStudyData[[#This Row],[Student_ID]],tblStudents[Student_ID],tblStudents[Grade],"")</f>
        <v>12</v>
      </c>
      <c r="G40" t="str">
        <f>_xlfn.XLOOKUP(tblStudyData[[#This Row],[Student_ID]],tblStudents[Student_ID],tblStudents[Class],"")</f>
        <v>A</v>
      </c>
      <c r="H40" t="s">
        <v>44</v>
      </c>
      <c r="I40" t="s">
        <v>113</v>
      </c>
      <c r="J40" t="s">
        <v>51</v>
      </c>
      <c r="K40">
        <v>2</v>
      </c>
      <c r="L40">
        <v>1.8</v>
      </c>
      <c r="M40" t="s">
        <v>52</v>
      </c>
      <c r="N40" t="s">
        <v>420</v>
      </c>
      <c r="O40">
        <v>79</v>
      </c>
      <c r="P40" t="s">
        <v>53</v>
      </c>
      <c r="Q40" s="20">
        <f>IF(tblStudyData[[#This Row],[Attendence_Status]]="Present",100%,IF(tblStudyData[[#This Row],[Attendence_Status]]="Late",80%,IF(tblStudyData[[#This Row],[Attendence_Status]]="Absent",0%,"")))</f>
        <v>1</v>
      </c>
      <c r="R40" t="s">
        <v>55</v>
      </c>
      <c r="S40" t="s">
        <v>59</v>
      </c>
      <c r="T40" t="s">
        <v>62</v>
      </c>
      <c r="U40" t="s">
        <v>411</v>
      </c>
      <c r="V40">
        <f>WEEKNUM(tblStudyData[[#This Row],[Date]],2)</f>
        <v>34</v>
      </c>
    </row>
    <row r="41" spans="1:22" x14ac:dyDescent="0.3">
      <c r="A41" t="s">
        <v>141</v>
      </c>
      <c r="B41" s="5">
        <v>46256</v>
      </c>
      <c r="C41" t="s">
        <v>71</v>
      </c>
      <c r="D41" t="str">
        <f>_xlfn.XLOOKUP(tblStudyData[[#This Row],[Student_ID]],tblStudents[Student_ID],tblStudents[Student_Name],"")</f>
        <v>Sai</v>
      </c>
      <c r="E41" t="str">
        <f>_xlfn.XLOOKUP(tblStudyData[[#This Row],[Student_ID]],tblStudents[Student_ID],tblStudents[Gender],"")</f>
        <v>Male</v>
      </c>
      <c r="F41">
        <f>_xlfn.XLOOKUP(tblStudyData[[#This Row],[Student_ID]],tblStudents[Student_ID],tblStudents[Grade],"")</f>
        <v>9</v>
      </c>
      <c r="G41" t="str">
        <f>_xlfn.XLOOKUP(tblStudyData[[#This Row],[Student_ID]],tblStudents[Student_ID],tblStudents[Class],"")</f>
        <v>B</v>
      </c>
      <c r="H41" t="s">
        <v>41</v>
      </c>
      <c r="I41" t="s">
        <v>113</v>
      </c>
      <c r="J41" t="s">
        <v>50</v>
      </c>
      <c r="K41">
        <v>1</v>
      </c>
      <c r="L41">
        <v>0.6</v>
      </c>
      <c r="M41" t="s">
        <v>52</v>
      </c>
      <c r="N41" t="s">
        <v>420</v>
      </c>
      <c r="O41">
        <v>78</v>
      </c>
      <c r="P41" t="s">
        <v>412</v>
      </c>
      <c r="Q41" s="20">
        <v>0.99</v>
      </c>
      <c r="R41" t="s">
        <v>54</v>
      </c>
      <c r="S41" t="s">
        <v>59</v>
      </c>
      <c r="T41" t="s">
        <v>64</v>
      </c>
      <c r="U41" t="s">
        <v>413</v>
      </c>
      <c r="V41">
        <f>WEEKNUM(tblStudyData[[#This Row],[Date]],2)</f>
        <v>34</v>
      </c>
    </row>
    <row r="42" spans="1:22" x14ac:dyDescent="0.3">
      <c r="A42" t="s">
        <v>142</v>
      </c>
      <c r="B42" s="5">
        <v>46236</v>
      </c>
      <c r="C42" t="s">
        <v>67</v>
      </c>
      <c r="D42" t="str">
        <f>_xlfn.XLOOKUP(tblStudyData[[#This Row],[Student_ID]],tblStudents[Student_ID],tblStudents[Student_Name],"")</f>
        <v>Rohit</v>
      </c>
      <c r="E42" t="str">
        <f>_xlfn.XLOOKUP(tblStudyData[[#This Row],[Student_ID]],tblStudents[Student_ID],tblStudents[Gender],"")</f>
        <v>Male</v>
      </c>
      <c r="F42">
        <f>_xlfn.XLOOKUP(tblStudyData[[#This Row],[Student_ID]],tblStudents[Student_ID],tblStudents[Grade],"")</f>
        <v>9</v>
      </c>
      <c r="G42" t="str">
        <f>_xlfn.XLOOKUP(tblStudyData[[#This Row],[Student_ID]],tblStudents[Student_ID],tblStudents[Class],"")</f>
        <v>A</v>
      </c>
      <c r="H42" t="s">
        <v>42</v>
      </c>
      <c r="I42" t="s">
        <v>113</v>
      </c>
      <c r="J42" t="s">
        <v>49</v>
      </c>
      <c r="K42">
        <v>4</v>
      </c>
      <c r="L42">
        <v>3.4</v>
      </c>
      <c r="M42" t="s">
        <v>52</v>
      </c>
      <c r="N42" t="s">
        <v>420</v>
      </c>
      <c r="O42">
        <v>85</v>
      </c>
      <c r="P42" t="s">
        <v>412</v>
      </c>
      <c r="Q42" s="20">
        <v>0.98</v>
      </c>
      <c r="R42" t="s">
        <v>54</v>
      </c>
      <c r="S42" t="s">
        <v>90</v>
      </c>
      <c r="T42" t="s">
        <v>65</v>
      </c>
      <c r="U42" t="s">
        <v>413</v>
      </c>
      <c r="V42">
        <f>WEEKNUM(tblStudyData[[#This Row],[Date]],2)</f>
        <v>31</v>
      </c>
    </row>
    <row r="43" spans="1:22" x14ac:dyDescent="0.3">
      <c r="A43" t="s">
        <v>143</v>
      </c>
      <c r="B43" s="5">
        <v>46243</v>
      </c>
      <c r="C43" t="s">
        <v>75</v>
      </c>
      <c r="D43" t="str">
        <f>_xlfn.XLOOKUP(tblStudyData[[#This Row],[Student_ID]],tblStudents[Student_ID],tblStudents[Student_Name],"")</f>
        <v>Akhil</v>
      </c>
      <c r="E43" t="str">
        <f>_xlfn.XLOOKUP(tblStudyData[[#This Row],[Student_ID]],tblStudents[Student_ID],tblStudents[Gender],"")</f>
        <v>Male</v>
      </c>
      <c r="F43">
        <f>_xlfn.XLOOKUP(tblStudyData[[#This Row],[Student_ID]],tblStudents[Student_ID],tblStudents[Grade],"")</f>
        <v>9</v>
      </c>
      <c r="G43" t="str">
        <f>_xlfn.XLOOKUP(tblStudyData[[#This Row],[Student_ID]],tblStudents[Student_ID],tblStudents[Class],"")</f>
        <v>A</v>
      </c>
      <c r="H43" t="s">
        <v>40</v>
      </c>
      <c r="I43" t="s">
        <v>113</v>
      </c>
      <c r="J43" t="s">
        <v>51</v>
      </c>
      <c r="K43">
        <v>3</v>
      </c>
      <c r="L43">
        <v>2.7</v>
      </c>
      <c r="M43" t="s">
        <v>52</v>
      </c>
      <c r="N43" t="s">
        <v>421</v>
      </c>
      <c r="O43">
        <v>75</v>
      </c>
      <c r="P43" t="s">
        <v>409</v>
      </c>
      <c r="Q43" s="20">
        <f>IF(tblStudyData[[#This Row],[Attendence_Status]]="Present",100%,IF(tblStudyData[[#This Row],[Attendence_Status]]="Late",80%,IF(tblStudyData[[#This Row],[Attendence_Status]]="Absent",0%,"")))</f>
        <v>0.8</v>
      </c>
      <c r="R43" t="s">
        <v>56</v>
      </c>
      <c r="S43" t="s">
        <v>59</v>
      </c>
      <c r="T43" t="s">
        <v>62</v>
      </c>
      <c r="U43" t="s">
        <v>411</v>
      </c>
      <c r="V43">
        <f>WEEKNUM(tblStudyData[[#This Row],[Date]],2)</f>
        <v>32</v>
      </c>
    </row>
    <row r="44" spans="1:22" x14ac:dyDescent="0.3">
      <c r="A44" t="s">
        <v>144</v>
      </c>
      <c r="B44" s="5">
        <v>46254</v>
      </c>
      <c r="C44" t="s">
        <v>29</v>
      </c>
      <c r="D44" t="str">
        <f>_xlfn.XLOOKUP(tblStudyData[[#This Row],[Student_ID]],tblStudents[Student_ID],tblStudents[Student_Name],"")</f>
        <v>Sneha</v>
      </c>
      <c r="E44" t="str">
        <f>_xlfn.XLOOKUP(tblStudyData[[#This Row],[Student_ID]],tblStudents[Student_ID],tblStudents[Gender],"")</f>
        <v>Female</v>
      </c>
      <c r="F44">
        <f>_xlfn.XLOOKUP(tblStudyData[[#This Row],[Student_ID]],tblStudents[Student_ID],tblStudents[Grade],"")</f>
        <v>0</v>
      </c>
      <c r="G44" t="str">
        <f>_xlfn.XLOOKUP(tblStudyData[[#This Row],[Student_ID]],tblStudents[Student_ID],tblStudents[Class],"")</f>
        <v>B</v>
      </c>
      <c r="H44" t="s">
        <v>42</v>
      </c>
      <c r="I44" t="s">
        <v>113</v>
      </c>
      <c r="J44" t="s">
        <v>50</v>
      </c>
      <c r="K44">
        <v>4</v>
      </c>
      <c r="L44">
        <v>4</v>
      </c>
      <c r="M44" t="s">
        <v>52</v>
      </c>
      <c r="N44" t="s">
        <v>420</v>
      </c>
      <c r="O44">
        <v>66</v>
      </c>
      <c r="P44" t="s">
        <v>53</v>
      </c>
      <c r="Q44" s="20">
        <f>IF(tblStudyData[[#This Row],[Attendence_Status]]="Present",100%,IF(tblStudyData[[#This Row],[Attendence_Status]]="Late",80%,IF(tblStudyData[[#This Row],[Attendence_Status]]="Absent",0%,"")))</f>
        <v>1</v>
      </c>
      <c r="R44" t="s">
        <v>55</v>
      </c>
      <c r="S44" t="s">
        <v>59</v>
      </c>
      <c r="T44" t="s">
        <v>65</v>
      </c>
      <c r="U44" t="s">
        <v>414</v>
      </c>
      <c r="V44">
        <f>WEEKNUM(tblStudyData[[#This Row],[Date]],2)</f>
        <v>34</v>
      </c>
    </row>
    <row r="45" spans="1:22" x14ac:dyDescent="0.3">
      <c r="A45" t="s">
        <v>145</v>
      </c>
      <c r="B45" s="5">
        <v>46253</v>
      </c>
      <c r="C45" t="s">
        <v>30</v>
      </c>
      <c r="D45" t="str">
        <f>_xlfn.XLOOKUP(tblStudyData[[#This Row],[Student_ID]],tblStudents[Student_ID],tblStudents[Student_Name],"")</f>
        <v>Kiran</v>
      </c>
      <c r="E45" t="str">
        <f>_xlfn.XLOOKUP(tblStudyData[[#This Row],[Student_ID]],tblStudents[Student_ID],tblStudents[Gender],"")</f>
        <v>Male</v>
      </c>
      <c r="F45">
        <f>_xlfn.XLOOKUP(tblStudyData[[#This Row],[Student_ID]],tblStudents[Student_ID],tblStudents[Grade],"")</f>
        <v>12</v>
      </c>
      <c r="G45" t="str">
        <f>_xlfn.XLOOKUP(tblStudyData[[#This Row],[Student_ID]],tblStudents[Student_ID],tblStudents[Class],"")</f>
        <v>A</v>
      </c>
      <c r="H45" t="s">
        <v>40</v>
      </c>
      <c r="I45" t="s">
        <v>113</v>
      </c>
      <c r="J45" t="s">
        <v>49</v>
      </c>
      <c r="K45">
        <v>4</v>
      </c>
      <c r="L45">
        <v>2.8</v>
      </c>
      <c r="M45" t="s">
        <v>52</v>
      </c>
      <c r="N45" t="s">
        <v>421</v>
      </c>
      <c r="O45">
        <v>62</v>
      </c>
      <c r="P45" t="s">
        <v>412</v>
      </c>
      <c r="Q45" s="20">
        <v>0.89</v>
      </c>
      <c r="R45" t="s">
        <v>55</v>
      </c>
      <c r="S45" t="s">
        <v>90</v>
      </c>
      <c r="T45" t="s">
        <v>65</v>
      </c>
      <c r="U45" t="s">
        <v>413</v>
      </c>
      <c r="V45">
        <f>WEEKNUM(tblStudyData[[#This Row],[Date]],2)</f>
        <v>34</v>
      </c>
    </row>
    <row r="46" spans="1:22" x14ac:dyDescent="0.3">
      <c r="A46" t="s">
        <v>146</v>
      </c>
      <c r="B46" s="5">
        <v>46250</v>
      </c>
      <c r="C46" t="s">
        <v>70</v>
      </c>
      <c r="D46" t="str">
        <f>_xlfn.XLOOKUP(tblStudyData[[#This Row],[Student_ID]],tblStudents[Student_ID],tblStudents[Student_Name],"")</f>
        <v>Neha</v>
      </c>
      <c r="E46" t="str">
        <f>_xlfn.XLOOKUP(tblStudyData[[#This Row],[Student_ID]],tblStudents[Student_ID],tblStudents[Gender],"")</f>
        <v>Female</v>
      </c>
      <c r="F46">
        <f>_xlfn.XLOOKUP(tblStudyData[[#This Row],[Student_ID]],tblStudents[Student_ID],tblStudents[Grade],"")</f>
        <v>11</v>
      </c>
      <c r="G46" t="str">
        <f>_xlfn.XLOOKUP(tblStudyData[[#This Row],[Student_ID]],tblStudents[Student_ID],tblStudents[Class],"")</f>
        <v>B</v>
      </c>
      <c r="H46" t="s">
        <v>41</v>
      </c>
      <c r="I46" t="s">
        <v>113</v>
      </c>
      <c r="J46" t="s">
        <v>49</v>
      </c>
      <c r="K46">
        <v>1</v>
      </c>
      <c r="L46">
        <v>0.7</v>
      </c>
      <c r="M46" t="s">
        <v>52</v>
      </c>
      <c r="N46" t="s">
        <v>421</v>
      </c>
      <c r="O46">
        <v>64</v>
      </c>
      <c r="P46" t="s">
        <v>412</v>
      </c>
      <c r="Q46" s="20">
        <v>0.88</v>
      </c>
      <c r="R46" t="s">
        <v>55</v>
      </c>
      <c r="S46" t="s">
        <v>91</v>
      </c>
      <c r="T46" t="s">
        <v>93</v>
      </c>
      <c r="U46" t="s">
        <v>413</v>
      </c>
      <c r="V46">
        <f>WEEKNUM(tblStudyData[[#This Row],[Date]],2)</f>
        <v>33</v>
      </c>
    </row>
    <row r="47" spans="1:22" x14ac:dyDescent="0.3">
      <c r="A47" t="s">
        <v>147</v>
      </c>
      <c r="B47" s="5">
        <v>46244</v>
      </c>
      <c r="C47" t="s">
        <v>71</v>
      </c>
      <c r="D47" t="str">
        <f>_xlfn.XLOOKUP(tblStudyData[[#This Row],[Student_ID]],tblStudents[Student_ID],tblStudents[Student_Name],"")</f>
        <v>Sai</v>
      </c>
      <c r="E47" t="str">
        <f>_xlfn.XLOOKUP(tblStudyData[[#This Row],[Student_ID]],tblStudents[Student_ID],tblStudents[Gender],"")</f>
        <v>Male</v>
      </c>
      <c r="F47">
        <f>_xlfn.XLOOKUP(tblStudyData[[#This Row],[Student_ID]],tblStudents[Student_ID],tblStudents[Grade],"")</f>
        <v>9</v>
      </c>
      <c r="G47" t="str">
        <f>_xlfn.XLOOKUP(tblStudyData[[#This Row],[Student_ID]],tblStudents[Student_ID],tblStudents[Class],"")</f>
        <v>B</v>
      </c>
      <c r="H47" t="s">
        <v>43</v>
      </c>
      <c r="I47" t="s">
        <v>113</v>
      </c>
      <c r="J47" t="s">
        <v>50</v>
      </c>
      <c r="K47">
        <v>2</v>
      </c>
      <c r="L47">
        <v>1.7</v>
      </c>
      <c r="M47" t="s">
        <v>52</v>
      </c>
      <c r="N47" t="s">
        <v>420</v>
      </c>
      <c r="O47">
        <v>69</v>
      </c>
      <c r="P47" t="s">
        <v>409</v>
      </c>
      <c r="Q47" s="20">
        <f>IF(tblStudyData[[#This Row],[Attendence_Status]]="Present",100%,IF(tblStudyData[[#This Row],[Attendence_Status]]="Late",80%,IF(tblStudyData[[#This Row],[Attendence_Status]]="Absent",0%,"")))</f>
        <v>0.8</v>
      </c>
      <c r="R47" t="s">
        <v>55</v>
      </c>
      <c r="S47" t="s">
        <v>58</v>
      </c>
      <c r="T47" t="s">
        <v>93</v>
      </c>
      <c r="U47" t="s">
        <v>413</v>
      </c>
      <c r="V47">
        <f>WEEKNUM(tblStudyData[[#This Row],[Date]],2)</f>
        <v>33</v>
      </c>
    </row>
    <row r="48" spans="1:22" x14ac:dyDescent="0.3">
      <c r="A48" t="s">
        <v>148</v>
      </c>
      <c r="B48" s="5">
        <v>46238</v>
      </c>
      <c r="C48" t="s">
        <v>30</v>
      </c>
      <c r="D48" t="str">
        <f>_xlfn.XLOOKUP(tblStudyData[[#This Row],[Student_ID]],tblStudents[Student_ID],tblStudents[Student_Name],"")</f>
        <v>Kiran</v>
      </c>
      <c r="E48" t="str">
        <f>_xlfn.XLOOKUP(tblStudyData[[#This Row],[Student_ID]],tblStudents[Student_ID],tblStudents[Gender],"")</f>
        <v>Male</v>
      </c>
      <c r="F48">
        <f>_xlfn.XLOOKUP(tblStudyData[[#This Row],[Student_ID]],tblStudents[Student_ID],tblStudents[Grade],"")</f>
        <v>12</v>
      </c>
      <c r="G48" t="str">
        <f>_xlfn.XLOOKUP(tblStudyData[[#This Row],[Student_ID]],tblStudents[Student_ID],tblStudents[Class],"")</f>
        <v>A</v>
      </c>
      <c r="H48" t="s">
        <v>42</v>
      </c>
      <c r="I48" t="s">
        <v>113</v>
      </c>
      <c r="J48" t="s">
        <v>51</v>
      </c>
      <c r="K48">
        <v>1</v>
      </c>
      <c r="L48">
        <v>0.7</v>
      </c>
      <c r="M48" t="s">
        <v>52</v>
      </c>
      <c r="N48" t="s">
        <v>420</v>
      </c>
      <c r="O48">
        <v>76</v>
      </c>
      <c r="P48" t="s">
        <v>409</v>
      </c>
      <c r="Q48" s="20">
        <f>IF(tblStudyData[[#This Row],[Attendence_Status]]="Present",100%,IF(tblStudyData[[#This Row],[Attendence_Status]]="Late",80%,IF(tblStudyData[[#This Row],[Attendence_Status]]="Absent",0%,"")))</f>
        <v>0.8</v>
      </c>
      <c r="R48" t="s">
        <v>54</v>
      </c>
      <c r="S48" t="s">
        <v>57</v>
      </c>
      <c r="T48" t="s">
        <v>63</v>
      </c>
      <c r="U48" t="s">
        <v>411</v>
      </c>
      <c r="V48">
        <f>WEEKNUM(tblStudyData[[#This Row],[Date]],2)</f>
        <v>32</v>
      </c>
    </row>
    <row r="49" spans="1:22" x14ac:dyDescent="0.3">
      <c r="A49" t="s">
        <v>149</v>
      </c>
      <c r="B49" s="5">
        <v>46252</v>
      </c>
      <c r="C49" t="s">
        <v>75</v>
      </c>
      <c r="D49" t="str">
        <f>_xlfn.XLOOKUP(tblStudyData[[#This Row],[Student_ID]],tblStudents[Student_ID],tblStudents[Student_Name],"")</f>
        <v>Akhil</v>
      </c>
      <c r="E49" t="str">
        <f>_xlfn.XLOOKUP(tblStudyData[[#This Row],[Student_ID]],tblStudents[Student_ID],tblStudents[Gender],"")</f>
        <v>Male</v>
      </c>
      <c r="F49">
        <f>_xlfn.XLOOKUP(tblStudyData[[#This Row],[Student_ID]],tblStudents[Student_ID],tblStudents[Grade],"")</f>
        <v>9</v>
      </c>
      <c r="G49" t="str">
        <f>_xlfn.XLOOKUP(tblStudyData[[#This Row],[Student_ID]],tblStudents[Student_ID],tblStudents[Class],"")</f>
        <v>A</v>
      </c>
      <c r="H49" t="s">
        <v>40</v>
      </c>
      <c r="I49" t="s">
        <v>113</v>
      </c>
      <c r="J49" t="s">
        <v>49</v>
      </c>
      <c r="K49">
        <v>3</v>
      </c>
      <c r="L49">
        <v>2.2000000000000002</v>
      </c>
      <c r="M49" t="s">
        <v>52</v>
      </c>
      <c r="N49" t="s">
        <v>420</v>
      </c>
      <c r="O49">
        <v>91</v>
      </c>
      <c r="P49" t="s">
        <v>409</v>
      </c>
      <c r="Q49" s="20">
        <f>IF(tblStudyData[[#This Row],[Attendence_Status]]="Present",100%,IF(tblStudyData[[#This Row],[Attendence_Status]]="Late",80%,IF(tblStudyData[[#This Row],[Attendence_Status]]="Absent",0%,"")))</f>
        <v>0.8</v>
      </c>
      <c r="R49" t="s">
        <v>56</v>
      </c>
      <c r="S49" t="s">
        <v>59</v>
      </c>
      <c r="T49" t="s">
        <v>65</v>
      </c>
      <c r="U49" t="s">
        <v>411</v>
      </c>
      <c r="V49">
        <f>WEEKNUM(tblStudyData[[#This Row],[Date]],2)</f>
        <v>34</v>
      </c>
    </row>
    <row r="50" spans="1:22" x14ac:dyDescent="0.3">
      <c r="A50" t="s">
        <v>150</v>
      </c>
      <c r="B50" s="5">
        <v>46251</v>
      </c>
      <c r="C50" t="s">
        <v>68</v>
      </c>
      <c r="D50" t="str">
        <f>_xlfn.XLOOKUP(tblStudyData[[#This Row],[Student_ID]],tblStudents[Student_ID],tblStudents[Student_Name],"")</f>
        <v>Divya</v>
      </c>
      <c r="E50" t="str">
        <f>_xlfn.XLOOKUP(tblStudyData[[#This Row],[Student_ID]],tblStudents[Student_ID],tblStudents[Gender],"")</f>
        <v>Female</v>
      </c>
      <c r="F50">
        <f>_xlfn.XLOOKUP(tblStudyData[[#This Row],[Student_ID]],tblStudents[Student_ID],tblStudents[Grade],"")</f>
        <v>12</v>
      </c>
      <c r="G50" t="str">
        <f>_xlfn.XLOOKUP(tblStudyData[[#This Row],[Student_ID]],tblStudents[Student_ID],tblStudents[Class],"")</f>
        <v>B</v>
      </c>
      <c r="H50" t="s">
        <v>41</v>
      </c>
      <c r="I50" t="s">
        <v>113</v>
      </c>
      <c r="J50" t="s">
        <v>51</v>
      </c>
      <c r="K50">
        <v>3</v>
      </c>
      <c r="L50">
        <v>2.7</v>
      </c>
      <c r="M50" t="s">
        <v>52</v>
      </c>
      <c r="N50" t="s">
        <v>420</v>
      </c>
      <c r="O50">
        <v>75</v>
      </c>
      <c r="P50" t="s">
        <v>409</v>
      </c>
      <c r="Q50" s="20">
        <f>IF(tblStudyData[[#This Row],[Attendence_Status]]="Present",100%,IF(tblStudyData[[#This Row],[Attendence_Status]]="Late",80%,IF(tblStudyData[[#This Row],[Attendence_Status]]="Absent",0%,"")))</f>
        <v>0.8</v>
      </c>
      <c r="R50" t="s">
        <v>55</v>
      </c>
      <c r="S50" t="s">
        <v>57</v>
      </c>
      <c r="T50" t="s">
        <v>93</v>
      </c>
      <c r="U50" t="s">
        <v>411</v>
      </c>
      <c r="V50">
        <f>WEEKNUM(tblStudyData[[#This Row],[Date]],2)</f>
        <v>34</v>
      </c>
    </row>
    <row r="51" spans="1:22" x14ac:dyDescent="0.3">
      <c r="A51" t="s">
        <v>151</v>
      </c>
      <c r="B51" s="5">
        <v>46241</v>
      </c>
      <c r="C51" t="s">
        <v>67</v>
      </c>
      <c r="D51" t="str">
        <f>_xlfn.XLOOKUP(tblStudyData[[#This Row],[Student_ID]],tblStudents[Student_ID],tblStudents[Student_Name],"")</f>
        <v>Rohit</v>
      </c>
      <c r="E51" t="str">
        <f>_xlfn.XLOOKUP(tblStudyData[[#This Row],[Student_ID]],tblStudents[Student_ID],tblStudents[Gender],"")</f>
        <v>Male</v>
      </c>
      <c r="F51">
        <f>_xlfn.XLOOKUP(tblStudyData[[#This Row],[Student_ID]],tblStudents[Student_ID],tblStudents[Grade],"")</f>
        <v>9</v>
      </c>
      <c r="G51" t="str">
        <f>_xlfn.XLOOKUP(tblStudyData[[#This Row],[Student_ID]],tblStudents[Student_ID],tblStudents[Class],"")</f>
        <v>A</v>
      </c>
      <c r="H51" t="s">
        <v>42</v>
      </c>
      <c r="I51" t="s">
        <v>113</v>
      </c>
      <c r="J51" t="s">
        <v>51</v>
      </c>
      <c r="K51">
        <v>3</v>
      </c>
      <c r="L51">
        <v>2.2999999999999998</v>
      </c>
      <c r="M51" t="s">
        <v>52</v>
      </c>
      <c r="N51" t="s">
        <v>420</v>
      </c>
      <c r="O51">
        <v>91</v>
      </c>
      <c r="P51" t="s">
        <v>409</v>
      </c>
      <c r="Q51" s="20">
        <f>IF(tblStudyData[[#This Row],[Attendence_Status]]="Present",100%,IF(tblStudyData[[#This Row],[Attendence_Status]]="Late",80%,IF(tblStudyData[[#This Row],[Attendence_Status]]="Absent",0%,"")))</f>
        <v>0.8</v>
      </c>
      <c r="R51" t="s">
        <v>54</v>
      </c>
      <c r="S51" t="s">
        <v>59</v>
      </c>
      <c r="T51" t="s">
        <v>65</v>
      </c>
      <c r="U51" t="s">
        <v>411</v>
      </c>
      <c r="V51">
        <f>WEEKNUM(tblStudyData[[#This Row],[Date]],2)</f>
        <v>32</v>
      </c>
    </row>
    <row r="52" spans="1:22" x14ac:dyDescent="0.3">
      <c r="A52" t="s">
        <v>152</v>
      </c>
      <c r="B52" s="5">
        <v>46240</v>
      </c>
      <c r="C52" t="s">
        <v>72</v>
      </c>
      <c r="D52" t="str">
        <f>_xlfn.XLOOKUP(tblStudyData[[#This Row],[Student_ID]],tblStudents[Student_ID],tblStudents[Student_Name],"")</f>
        <v>Pooja</v>
      </c>
      <c r="E52" t="str">
        <f>_xlfn.XLOOKUP(tblStudyData[[#This Row],[Student_ID]],tblStudents[Student_ID],tblStudents[Gender],"")</f>
        <v>Female</v>
      </c>
      <c r="F52">
        <f>_xlfn.XLOOKUP(tblStudyData[[#This Row],[Student_ID]],tblStudents[Student_ID],tblStudents[Grade],"")</f>
        <v>12</v>
      </c>
      <c r="G52" t="str">
        <f>_xlfn.XLOOKUP(tblStudyData[[#This Row],[Student_ID]],tblStudents[Student_ID],tblStudents[Class],"")</f>
        <v>A</v>
      </c>
      <c r="H52" t="s">
        <v>43</v>
      </c>
      <c r="I52" t="s">
        <v>113</v>
      </c>
      <c r="J52" t="s">
        <v>49</v>
      </c>
      <c r="K52">
        <v>1</v>
      </c>
      <c r="L52">
        <v>0.7</v>
      </c>
      <c r="M52" t="s">
        <v>52</v>
      </c>
      <c r="N52" t="s">
        <v>420</v>
      </c>
      <c r="O52">
        <v>79</v>
      </c>
      <c r="P52" t="s">
        <v>53</v>
      </c>
      <c r="Q52" s="20">
        <f>IF(tblStudyData[[#This Row],[Attendence_Status]]="Present",100%,IF(tblStudyData[[#This Row],[Attendence_Status]]="Late",80%,IF(tblStudyData[[#This Row],[Attendence_Status]]="Absent",0%,"")))</f>
        <v>1</v>
      </c>
      <c r="R52" t="s">
        <v>55</v>
      </c>
      <c r="S52" t="s">
        <v>91</v>
      </c>
      <c r="T52" t="s">
        <v>64</v>
      </c>
      <c r="U52" t="s">
        <v>411</v>
      </c>
      <c r="V52">
        <f>WEEKNUM(tblStudyData[[#This Row],[Date]],2)</f>
        <v>32</v>
      </c>
    </row>
    <row r="53" spans="1:22" x14ac:dyDescent="0.3">
      <c r="A53" t="s">
        <v>153</v>
      </c>
      <c r="B53" s="5">
        <v>46250</v>
      </c>
      <c r="C53" t="s">
        <v>75</v>
      </c>
      <c r="D53" t="str">
        <f>_xlfn.XLOOKUP(tblStudyData[[#This Row],[Student_ID]],tblStudents[Student_ID],tblStudents[Student_Name],"")</f>
        <v>Akhil</v>
      </c>
      <c r="E53" t="str">
        <f>_xlfn.XLOOKUP(tblStudyData[[#This Row],[Student_ID]],tblStudents[Student_ID],tblStudents[Gender],"")</f>
        <v>Male</v>
      </c>
      <c r="F53">
        <f>_xlfn.XLOOKUP(tblStudyData[[#This Row],[Student_ID]],tblStudents[Student_ID],tblStudents[Grade],"")</f>
        <v>9</v>
      </c>
      <c r="G53" t="str">
        <f>_xlfn.XLOOKUP(tblStudyData[[#This Row],[Student_ID]],tblStudents[Student_ID],tblStudents[Class],"")</f>
        <v>A</v>
      </c>
      <c r="H53" t="s">
        <v>42</v>
      </c>
      <c r="I53" t="s">
        <v>113</v>
      </c>
      <c r="J53" t="s">
        <v>50</v>
      </c>
      <c r="K53">
        <v>1</v>
      </c>
      <c r="L53">
        <v>0.8</v>
      </c>
      <c r="M53" t="s">
        <v>52</v>
      </c>
      <c r="N53" t="s">
        <v>420</v>
      </c>
      <c r="O53">
        <v>71</v>
      </c>
      <c r="P53" t="s">
        <v>409</v>
      </c>
      <c r="Q53" s="20">
        <f>IF(tblStudyData[[#This Row],[Attendence_Status]]="Present",100%,IF(tblStudyData[[#This Row],[Attendence_Status]]="Late",80%,IF(tblStudyData[[#This Row],[Attendence_Status]]="Absent",0%,"")))</f>
        <v>0.8</v>
      </c>
      <c r="R53" t="s">
        <v>56</v>
      </c>
      <c r="S53" t="s">
        <v>91</v>
      </c>
      <c r="T53" t="s">
        <v>64</v>
      </c>
      <c r="U53" t="s">
        <v>411</v>
      </c>
      <c r="V53">
        <f>WEEKNUM(tblStudyData[[#This Row],[Date]],2)</f>
        <v>33</v>
      </c>
    </row>
    <row r="54" spans="1:22" x14ac:dyDescent="0.3">
      <c r="A54" t="s">
        <v>154</v>
      </c>
      <c r="B54" s="5">
        <v>46244</v>
      </c>
      <c r="C54" t="s">
        <v>27</v>
      </c>
      <c r="D54" t="str">
        <f>_xlfn.XLOOKUP(tblStudyData[[#This Row],[Student_ID]],tblStudents[Student_ID],tblStudents[Student_Name],"")</f>
        <v>Priya</v>
      </c>
      <c r="E54" t="str">
        <f>_xlfn.XLOOKUP(tblStudyData[[#This Row],[Student_ID]],tblStudents[Student_ID],tblStudents[Gender],"")</f>
        <v>Female</v>
      </c>
      <c r="F54">
        <f>_xlfn.XLOOKUP(tblStudyData[[#This Row],[Student_ID]],tblStudents[Student_ID],tblStudents[Grade],"")</f>
        <v>10</v>
      </c>
      <c r="G54" t="str">
        <f>_xlfn.XLOOKUP(tblStudyData[[#This Row],[Student_ID]],tblStudents[Student_ID],tblStudents[Class],"")</f>
        <v>A</v>
      </c>
      <c r="H54" t="s">
        <v>40</v>
      </c>
      <c r="I54" t="s">
        <v>113</v>
      </c>
      <c r="J54" t="s">
        <v>50</v>
      </c>
      <c r="K54">
        <v>2</v>
      </c>
      <c r="L54">
        <v>1.3</v>
      </c>
      <c r="M54" t="s">
        <v>52</v>
      </c>
      <c r="N54" t="s">
        <v>420</v>
      </c>
      <c r="O54">
        <v>82</v>
      </c>
      <c r="P54" t="s">
        <v>412</v>
      </c>
      <c r="Q54" s="20">
        <v>1</v>
      </c>
      <c r="R54" t="s">
        <v>56</v>
      </c>
      <c r="S54" t="s">
        <v>90</v>
      </c>
      <c r="T54" t="s">
        <v>65</v>
      </c>
      <c r="U54" t="s">
        <v>413</v>
      </c>
      <c r="V54">
        <f>WEEKNUM(tblStudyData[[#This Row],[Date]],2)</f>
        <v>33</v>
      </c>
    </row>
    <row r="55" spans="1:22" x14ac:dyDescent="0.3">
      <c r="A55" t="s">
        <v>155</v>
      </c>
      <c r="B55" s="5">
        <v>46246</v>
      </c>
      <c r="C55" t="s">
        <v>26</v>
      </c>
      <c r="D55" t="str">
        <f>_xlfn.XLOOKUP(tblStudyData[[#This Row],[Student_ID]],tblStudents[Student_ID],tblStudents[Student_Name],"")</f>
        <v>Rahul</v>
      </c>
      <c r="E55" t="str">
        <f>_xlfn.XLOOKUP(tblStudyData[[#This Row],[Student_ID]],tblStudents[Student_ID],tblStudents[Gender],"")</f>
        <v>Male</v>
      </c>
      <c r="F55">
        <f>_xlfn.XLOOKUP(tblStudyData[[#This Row],[Student_ID]],tblStudents[Student_ID],tblStudents[Grade],"")</f>
        <v>10</v>
      </c>
      <c r="G55" t="str">
        <f>_xlfn.XLOOKUP(tblStudyData[[#This Row],[Student_ID]],tblStudents[Student_ID],tblStudents[Class],"")</f>
        <v>A</v>
      </c>
      <c r="H55" t="s">
        <v>40</v>
      </c>
      <c r="I55" t="s">
        <v>113</v>
      </c>
      <c r="J55" t="s">
        <v>51</v>
      </c>
      <c r="K55">
        <v>3</v>
      </c>
      <c r="L55">
        <v>2.9</v>
      </c>
      <c r="M55" t="s">
        <v>52</v>
      </c>
      <c r="N55" t="s">
        <v>420</v>
      </c>
      <c r="O55">
        <v>80</v>
      </c>
      <c r="P55" t="s">
        <v>409</v>
      </c>
      <c r="Q55" s="20">
        <f>IF(tblStudyData[[#This Row],[Attendence_Status]]="Present",100%,IF(tblStudyData[[#This Row],[Attendence_Status]]="Late",80%,IF(tblStudyData[[#This Row],[Attendence_Status]]="Absent",0%,"")))</f>
        <v>0.8</v>
      </c>
      <c r="R55" t="s">
        <v>55</v>
      </c>
      <c r="S55" t="s">
        <v>57</v>
      </c>
      <c r="T55" t="s">
        <v>63</v>
      </c>
      <c r="U55" t="s">
        <v>411</v>
      </c>
      <c r="V55">
        <f>WEEKNUM(tblStudyData[[#This Row],[Date]],2)</f>
        <v>33</v>
      </c>
    </row>
    <row r="56" spans="1:22" x14ac:dyDescent="0.3">
      <c r="A56" t="s">
        <v>156</v>
      </c>
      <c r="B56" s="5">
        <v>46255</v>
      </c>
      <c r="C56" t="s">
        <v>69</v>
      </c>
      <c r="D56" t="str">
        <f>_xlfn.XLOOKUP(tblStudyData[[#This Row],[Student_ID]],tblStudents[Student_ID],tblStudents[Student_Name],"")</f>
        <v>Vikaram</v>
      </c>
      <c r="E56" t="str">
        <f>_xlfn.XLOOKUP(tblStudyData[[#This Row],[Student_ID]],tblStudents[Student_ID],tblStudents[Gender],"")</f>
        <v>Male</v>
      </c>
      <c r="F56">
        <f>_xlfn.XLOOKUP(tblStudyData[[#This Row],[Student_ID]],tblStudents[Student_ID],tblStudents[Grade],"")</f>
        <v>10</v>
      </c>
      <c r="G56" t="str">
        <f>_xlfn.XLOOKUP(tblStudyData[[#This Row],[Student_ID]],tblStudents[Student_ID],tblStudents[Class],"")</f>
        <v>B</v>
      </c>
      <c r="H56" t="s">
        <v>40</v>
      </c>
      <c r="I56" t="s">
        <v>113</v>
      </c>
      <c r="J56" t="s">
        <v>49</v>
      </c>
      <c r="K56">
        <v>4</v>
      </c>
      <c r="L56">
        <v>4</v>
      </c>
      <c r="M56" t="s">
        <v>52</v>
      </c>
      <c r="N56" t="s">
        <v>420</v>
      </c>
      <c r="O56">
        <v>97</v>
      </c>
      <c r="P56" t="s">
        <v>409</v>
      </c>
      <c r="Q56" s="20">
        <f>IF(tblStudyData[[#This Row],[Attendence_Status]]="Present",100%,IF(tblStudyData[[#This Row],[Attendence_Status]]="Late",80%,IF(tblStudyData[[#This Row],[Attendence_Status]]="Absent",0%,"")))</f>
        <v>0.8</v>
      </c>
      <c r="R56" t="s">
        <v>54</v>
      </c>
      <c r="S56" t="s">
        <v>60</v>
      </c>
      <c r="T56" t="s">
        <v>93</v>
      </c>
      <c r="U56" t="s">
        <v>411</v>
      </c>
      <c r="V56">
        <f>WEEKNUM(tblStudyData[[#This Row],[Date]],2)</f>
        <v>34</v>
      </c>
    </row>
    <row r="57" spans="1:22" x14ac:dyDescent="0.3">
      <c r="A57" t="s">
        <v>157</v>
      </c>
      <c r="B57" s="5">
        <v>46259</v>
      </c>
      <c r="C57" t="s">
        <v>68</v>
      </c>
      <c r="D57" t="str">
        <f>_xlfn.XLOOKUP(tblStudyData[[#This Row],[Student_ID]],tblStudents[Student_ID],tblStudents[Student_Name],"")</f>
        <v>Divya</v>
      </c>
      <c r="E57" t="str">
        <f>_xlfn.XLOOKUP(tblStudyData[[#This Row],[Student_ID]],tblStudents[Student_ID],tblStudents[Gender],"")</f>
        <v>Female</v>
      </c>
      <c r="F57">
        <f>_xlfn.XLOOKUP(tblStudyData[[#This Row],[Student_ID]],tblStudents[Student_ID],tblStudents[Grade],"")</f>
        <v>12</v>
      </c>
      <c r="G57" t="str">
        <f>_xlfn.XLOOKUP(tblStudyData[[#This Row],[Student_ID]],tblStudents[Student_ID],tblStudents[Class],"")</f>
        <v>B</v>
      </c>
      <c r="H57" t="s">
        <v>41</v>
      </c>
      <c r="I57" t="s">
        <v>113</v>
      </c>
      <c r="J57" t="s">
        <v>50</v>
      </c>
      <c r="K57">
        <v>4</v>
      </c>
      <c r="L57">
        <v>2.7</v>
      </c>
      <c r="M57" t="s">
        <v>52</v>
      </c>
      <c r="N57" t="s">
        <v>420</v>
      </c>
      <c r="O57">
        <v>72</v>
      </c>
      <c r="P57" t="s">
        <v>409</v>
      </c>
      <c r="Q57" s="20">
        <f>IF(tblStudyData[[#This Row],[Attendence_Status]]="Present",100%,IF(tblStudyData[[#This Row],[Attendence_Status]]="Late",80%,IF(tblStudyData[[#This Row],[Attendence_Status]]="Absent",0%,"")))</f>
        <v>0.8</v>
      </c>
      <c r="R57" t="s">
        <v>56</v>
      </c>
      <c r="S57" t="s">
        <v>59</v>
      </c>
      <c r="T57" t="s">
        <v>65</v>
      </c>
      <c r="U57" t="s">
        <v>411</v>
      </c>
      <c r="V57">
        <f>WEEKNUM(tblStudyData[[#This Row],[Date]],2)</f>
        <v>35</v>
      </c>
    </row>
    <row r="58" spans="1:22" x14ac:dyDescent="0.3">
      <c r="A58" t="s">
        <v>158</v>
      </c>
      <c r="B58" s="5">
        <v>46250</v>
      </c>
      <c r="C58" t="s">
        <v>30</v>
      </c>
      <c r="D58" t="str">
        <f>_xlfn.XLOOKUP(tblStudyData[[#This Row],[Student_ID]],tblStudents[Student_ID],tblStudents[Student_Name],"")</f>
        <v>Kiran</v>
      </c>
      <c r="E58" t="str">
        <f>_xlfn.XLOOKUP(tblStudyData[[#This Row],[Student_ID]],tblStudents[Student_ID],tblStudents[Gender],"")</f>
        <v>Male</v>
      </c>
      <c r="F58">
        <f>_xlfn.XLOOKUP(tblStudyData[[#This Row],[Student_ID]],tblStudents[Student_ID],tblStudents[Grade],"")</f>
        <v>12</v>
      </c>
      <c r="G58" t="str">
        <f>_xlfn.XLOOKUP(tblStudyData[[#This Row],[Student_ID]],tblStudents[Student_ID],tblStudents[Class],"")</f>
        <v>A</v>
      </c>
      <c r="H58" t="s">
        <v>42</v>
      </c>
      <c r="I58" t="s">
        <v>113</v>
      </c>
      <c r="J58" t="s">
        <v>51</v>
      </c>
      <c r="K58">
        <v>2</v>
      </c>
      <c r="L58">
        <v>1.6</v>
      </c>
      <c r="M58" t="s">
        <v>52</v>
      </c>
      <c r="N58" t="s">
        <v>421</v>
      </c>
      <c r="O58">
        <v>76</v>
      </c>
      <c r="P58" t="s">
        <v>412</v>
      </c>
      <c r="Q58" s="20">
        <v>0.75</v>
      </c>
      <c r="R58" t="s">
        <v>54</v>
      </c>
      <c r="S58" t="s">
        <v>58</v>
      </c>
      <c r="T58" t="s">
        <v>61</v>
      </c>
      <c r="U58" t="s">
        <v>413</v>
      </c>
      <c r="V58">
        <f>WEEKNUM(tblStudyData[[#This Row],[Date]],2)</f>
        <v>33</v>
      </c>
    </row>
    <row r="59" spans="1:22" x14ac:dyDescent="0.3">
      <c r="A59" t="s">
        <v>159</v>
      </c>
      <c r="B59" s="5">
        <v>46253</v>
      </c>
      <c r="C59" t="s">
        <v>75</v>
      </c>
      <c r="D59" t="str">
        <f>_xlfn.XLOOKUP(tblStudyData[[#This Row],[Student_ID]],tblStudents[Student_ID],tblStudents[Student_Name],"")</f>
        <v>Akhil</v>
      </c>
      <c r="E59" t="str">
        <f>_xlfn.XLOOKUP(tblStudyData[[#This Row],[Student_ID]],tblStudents[Student_ID],tblStudents[Gender],"")</f>
        <v>Male</v>
      </c>
      <c r="F59">
        <f>_xlfn.XLOOKUP(tblStudyData[[#This Row],[Student_ID]],tblStudents[Student_ID],tblStudents[Grade],"")</f>
        <v>9</v>
      </c>
      <c r="G59" t="str">
        <f>_xlfn.XLOOKUP(tblStudyData[[#This Row],[Student_ID]],tblStudents[Student_ID],tblStudents[Class],"")</f>
        <v>A</v>
      </c>
      <c r="H59" t="s">
        <v>86</v>
      </c>
      <c r="I59" t="s">
        <v>113</v>
      </c>
      <c r="J59" t="s">
        <v>50</v>
      </c>
      <c r="K59">
        <v>1</v>
      </c>
      <c r="L59">
        <v>0.8</v>
      </c>
      <c r="M59" t="s">
        <v>52</v>
      </c>
      <c r="N59" t="s">
        <v>420</v>
      </c>
      <c r="O59">
        <v>92</v>
      </c>
      <c r="P59" t="s">
        <v>409</v>
      </c>
      <c r="Q59" s="20">
        <f>IF(tblStudyData[[#This Row],[Attendence_Status]]="Present",100%,IF(tblStudyData[[#This Row],[Attendence_Status]]="Late",80%,IF(tblStudyData[[#This Row],[Attendence_Status]]="Absent",0%,"")))</f>
        <v>0.8</v>
      </c>
      <c r="R59" t="s">
        <v>55</v>
      </c>
      <c r="S59" t="s">
        <v>58</v>
      </c>
      <c r="T59" t="s">
        <v>63</v>
      </c>
      <c r="U59" t="s">
        <v>410</v>
      </c>
      <c r="V59">
        <f>WEEKNUM(tblStudyData[[#This Row],[Date]],2)</f>
        <v>34</v>
      </c>
    </row>
    <row r="60" spans="1:22" x14ac:dyDescent="0.3">
      <c r="A60" t="s">
        <v>160</v>
      </c>
      <c r="B60" s="5">
        <v>46255</v>
      </c>
      <c r="C60" t="s">
        <v>26</v>
      </c>
      <c r="D60" t="str">
        <f>_xlfn.XLOOKUP(tblStudyData[[#This Row],[Student_ID]],tblStudents[Student_ID],tblStudents[Student_Name],"")</f>
        <v>Rahul</v>
      </c>
      <c r="E60" t="str">
        <f>_xlfn.XLOOKUP(tblStudyData[[#This Row],[Student_ID]],tblStudents[Student_ID],tblStudents[Gender],"")</f>
        <v>Male</v>
      </c>
      <c r="F60">
        <f>_xlfn.XLOOKUP(tblStudyData[[#This Row],[Student_ID]],tblStudents[Student_ID],tblStudents[Grade],"")</f>
        <v>10</v>
      </c>
      <c r="G60" t="str">
        <f>_xlfn.XLOOKUP(tblStudyData[[#This Row],[Student_ID]],tblStudents[Student_ID],tblStudents[Class],"")</f>
        <v>A</v>
      </c>
      <c r="H60" t="s">
        <v>40</v>
      </c>
      <c r="I60" t="s">
        <v>113</v>
      </c>
      <c r="J60" t="s">
        <v>51</v>
      </c>
      <c r="K60">
        <v>4</v>
      </c>
      <c r="L60">
        <v>3.5</v>
      </c>
      <c r="M60" t="s">
        <v>52</v>
      </c>
      <c r="N60" t="s">
        <v>420</v>
      </c>
      <c r="O60">
        <v>76</v>
      </c>
      <c r="P60" t="s">
        <v>409</v>
      </c>
      <c r="Q60" s="20">
        <f>IF(tblStudyData[[#This Row],[Attendence_Status]]="Present",100%,IF(tblStudyData[[#This Row],[Attendence_Status]]="Late",80%,IF(tblStudyData[[#This Row],[Attendence_Status]]="Absent",0%,"")))</f>
        <v>0.8</v>
      </c>
      <c r="R60" t="s">
        <v>56</v>
      </c>
      <c r="S60" t="s">
        <v>90</v>
      </c>
      <c r="T60" t="s">
        <v>61</v>
      </c>
      <c r="U60" t="s">
        <v>411</v>
      </c>
      <c r="V60">
        <f>WEEKNUM(tblStudyData[[#This Row],[Date]],2)</f>
        <v>34</v>
      </c>
    </row>
    <row r="61" spans="1:22" x14ac:dyDescent="0.3">
      <c r="A61" t="s">
        <v>161</v>
      </c>
      <c r="B61" s="5">
        <v>46256</v>
      </c>
      <c r="C61" t="s">
        <v>74</v>
      </c>
      <c r="D61" t="str">
        <f>_xlfn.XLOOKUP(tblStudyData[[#This Row],[Student_ID]],tblStudents[Student_ID],tblStudents[Student_Name],"")</f>
        <v>Kavya</v>
      </c>
      <c r="E61" t="str">
        <f>_xlfn.XLOOKUP(tblStudyData[[#This Row],[Student_ID]],tblStudents[Student_ID],tblStudents[Gender],"")</f>
        <v>Female</v>
      </c>
      <c r="F61">
        <f>_xlfn.XLOOKUP(tblStudyData[[#This Row],[Student_ID]],tblStudents[Student_ID],tblStudents[Grade],"")</f>
        <v>11</v>
      </c>
      <c r="G61" t="str">
        <f>_xlfn.XLOOKUP(tblStudyData[[#This Row],[Student_ID]],tblStudents[Student_ID],tblStudents[Class],"")</f>
        <v>A</v>
      </c>
      <c r="H61" t="s">
        <v>40</v>
      </c>
      <c r="I61" t="s">
        <v>113</v>
      </c>
      <c r="J61" t="s">
        <v>88</v>
      </c>
      <c r="K61">
        <v>4</v>
      </c>
      <c r="L61">
        <v>3.3</v>
      </c>
      <c r="M61" t="s">
        <v>52</v>
      </c>
      <c r="N61" t="s">
        <v>420</v>
      </c>
      <c r="O61">
        <v>80</v>
      </c>
      <c r="P61" t="s">
        <v>53</v>
      </c>
      <c r="Q61" s="20">
        <f>IF(tblStudyData[[#This Row],[Attendence_Status]]="Present",100%,IF(tblStudyData[[#This Row],[Attendence_Status]]="Late",80%,IF(tblStudyData[[#This Row],[Attendence_Status]]="Absent",0%,"")))</f>
        <v>1</v>
      </c>
      <c r="R61" t="s">
        <v>55</v>
      </c>
      <c r="S61" t="s">
        <v>90</v>
      </c>
      <c r="T61" t="s">
        <v>63</v>
      </c>
      <c r="U61" t="s">
        <v>410</v>
      </c>
      <c r="V61">
        <f>WEEKNUM(tblStudyData[[#This Row],[Date]],2)</f>
        <v>34</v>
      </c>
    </row>
    <row r="62" spans="1:22" x14ac:dyDescent="0.3">
      <c r="A62" t="s">
        <v>162</v>
      </c>
      <c r="B62" s="5">
        <v>46249</v>
      </c>
      <c r="C62" t="s">
        <v>71</v>
      </c>
      <c r="D62" t="str">
        <f>_xlfn.XLOOKUP(tblStudyData[[#This Row],[Student_ID]],tblStudents[Student_ID],tblStudents[Student_Name],"")</f>
        <v>Sai</v>
      </c>
      <c r="E62" t="str">
        <f>_xlfn.XLOOKUP(tblStudyData[[#This Row],[Student_ID]],tblStudents[Student_ID],tblStudents[Gender],"")</f>
        <v>Male</v>
      </c>
      <c r="F62">
        <f>_xlfn.XLOOKUP(tblStudyData[[#This Row],[Student_ID]],tblStudents[Student_ID],tblStudents[Grade],"")</f>
        <v>9</v>
      </c>
      <c r="G62" t="str">
        <f>_xlfn.XLOOKUP(tblStudyData[[#This Row],[Student_ID]],tblStudents[Student_ID],tblStudents[Class],"")</f>
        <v>B</v>
      </c>
      <c r="H62" t="s">
        <v>42</v>
      </c>
      <c r="I62" t="s">
        <v>113</v>
      </c>
      <c r="J62" t="s">
        <v>88</v>
      </c>
      <c r="K62">
        <v>1</v>
      </c>
      <c r="L62">
        <v>1</v>
      </c>
      <c r="M62" t="s">
        <v>52</v>
      </c>
      <c r="N62" t="s">
        <v>420</v>
      </c>
      <c r="O62">
        <v>74</v>
      </c>
      <c r="P62" t="s">
        <v>53</v>
      </c>
      <c r="Q62" s="20">
        <f>IF(tblStudyData[[#This Row],[Attendence_Status]]="Present",100%,IF(tblStudyData[[#This Row],[Attendence_Status]]="Late",80%,IF(tblStudyData[[#This Row],[Attendence_Status]]="Absent",0%,"")))</f>
        <v>1</v>
      </c>
      <c r="R62" t="s">
        <v>54</v>
      </c>
      <c r="S62" t="s">
        <v>91</v>
      </c>
      <c r="T62" t="s">
        <v>93</v>
      </c>
      <c r="U62" t="s">
        <v>411</v>
      </c>
      <c r="V62">
        <f>WEEKNUM(tblStudyData[[#This Row],[Date]],2)</f>
        <v>33</v>
      </c>
    </row>
    <row r="63" spans="1:22" x14ac:dyDescent="0.3">
      <c r="A63" t="s">
        <v>163</v>
      </c>
      <c r="B63" s="5">
        <v>46251</v>
      </c>
      <c r="C63" t="s">
        <v>75</v>
      </c>
      <c r="D63" t="str">
        <f>_xlfn.XLOOKUP(tblStudyData[[#This Row],[Student_ID]],tblStudents[Student_ID],tblStudents[Student_Name],"")</f>
        <v>Akhil</v>
      </c>
      <c r="E63" t="str">
        <f>_xlfn.XLOOKUP(tblStudyData[[#This Row],[Student_ID]],tblStudents[Student_ID],tblStudents[Gender],"")</f>
        <v>Male</v>
      </c>
      <c r="F63">
        <f>_xlfn.XLOOKUP(tblStudyData[[#This Row],[Student_ID]],tblStudents[Student_ID],tblStudents[Grade],"")</f>
        <v>9</v>
      </c>
      <c r="G63" t="str">
        <f>_xlfn.XLOOKUP(tblStudyData[[#This Row],[Student_ID]],tblStudents[Student_ID],tblStudents[Class],"")</f>
        <v>A</v>
      </c>
      <c r="H63" t="s">
        <v>41</v>
      </c>
      <c r="I63" t="s">
        <v>113</v>
      </c>
      <c r="J63" t="s">
        <v>51</v>
      </c>
      <c r="K63">
        <v>3</v>
      </c>
      <c r="L63">
        <v>3.5</v>
      </c>
      <c r="M63" t="s">
        <v>52</v>
      </c>
      <c r="N63" t="s">
        <v>420</v>
      </c>
      <c r="O63">
        <v>79</v>
      </c>
      <c r="P63" t="s">
        <v>409</v>
      </c>
      <c r="Q63" s="20">
        <f>IF(tblStudyData[[#This Row],[Attendence_Status]]="Present",100%,IF(tblStudyData[[#This Row],[Attendence_Status]]="Late",80%,IF(tblStudyData[[#This Row],[Attendence_Status]]="Absent",0%,"")))</f>
        <v>0.8</v>
      </c>
      <c r="R63" t="s">
        <v>54</v>
      </c>
      <c r="S63" t="s">
        <v>60</v>
      </c>
      <c r="T63" t="s">
        <v>65</v>
      </c>
      <c r="U63" t="s">
        <v>411</v>
      </c>
      <c r="V63">
        <f>WEEKNUM(tblStudyData[[#This Row],[Date]],2)</f>
        <v>34</v>
      </c>
    </row>
    <row r="64" spans="1:22" x14ac:dyDescent="0.3">
      <c r="A64" t="s">
        <v>164</v>
      </c>
      <c r="B64" s="5">
        <v>46248</v>
      </c>
      <c r="C64" t="s">
        <v>29</v>
      </c>
      <c r="D64" t="str">
        <f>_xlfn.XLOOKUP(tblStudyData[[#This Row],[Student_ID]],tblStudents[Student_ID],tblStudents[Student_Name],"")</f>
        <v>Sneha</v>
      </c>
      <c r="E64" t="str">
        <f>_xlfn.XLOOKUP(tblStudyData[[#This Row],[Student_ID]],tblStudents[Student_ID],tblStudents[Gender],"")</f>
        <v>Female</v>
      </c>
      <c r="F64">
        <f>_xlfn.XLOOKUP(tblStudyData[[#This Row],[Student_ID]],tblStudents[Student_ID],tblStudents[Grade],"")</f>
        <v>0</v>
      </c>
      <c r="G64" t="str">
        <f>_xlfn.XLOOKUP(tblStudyData[[#This Row],[Student_ID]],tblStudents[Student_ID],tblStudents[Class],"")</f>
        <v>B</v>
      </c>
      <c r="H64" t="s">
        <v>42</v>
      </c>
      <c r="I64" t="s">
        <v>113</v>
      </c>
      <c r="J64" t="s">
        <v>51</v>
      </c>
      <c r="K64">
        <v>4</v>
      </c>
      <c r="L64">
        <v>3.4</v>
      </c>
      <c r="M64" t="s">
        <v>52</v>
      </c>
      <c r="N64" t="s">
        <v>421</v>
      </c>
      <c r="O64">
        <v>72</v>
      </c>
      <c r="P64" t="s">
        <v>412</v>
      </c>
      <c r="Q64" s="20">
        <v>0.75</v>
      </c>
      <c r="R64" t="s">
        <v>54</v>
      </c>
      <c r="S64" t="s">
        <v>60</v>
      </c>
      <c r="T64" t="s">
        <v>93</v>
      </c>
      <c r="U64" t="s">
        <v>413</v>
      </c>
      <c r="V64">
        <f>WEEKNUM(tblStudyData[[#This Row],[Date]],2)</f>
        <v>33</v>
      </c>
    </row>
    <row r="65" spans="1:22" x14ac:dyDescent="0.3">
      <c r="A65" t="s">
        <v>165</v>
      </c>
      <c r="B65" s="5">
        <v>46262</v>
      </c>
      <c r="C65" t="s">
        <v>68</v>
      </c>
      <c r="D65" t="str">
        <f>_xlfn.XLOOKUP(tblStudyData[[#This Row],[Student_ID]],tblStudents[Student_ID],tblStudents[Student_Name],"")</f>
        <v>Divya</v>
      </c>
      <c r="E65" t="str">
        <f>_xlfn.XLOOKUP(tblStudyData[[#This Row],[Student_ID]],tblStudents[Student_ID],tblStudents[Gender],"")</f>
        <v>Female</v>
      </c>
      <c r="F65">
        <f>_xlfn.XLOOKUP(tblStudyData[[#This Row],[Student_ID]],tblStudents[Student_ID],tblStudents[Grade],"")</f>
        <v>12</v>
      </c>
      <c r="G65" t="str">
        <f>_xlfn.XLOOKUP(tblStudyData[[#This Row],[Student_ID]],tblStudents[Student_ID],tblStudents[Class],"")</f>
        <v>B</v>
      </c>
      <c r="H65" t="s">
        <v>42</v>
      </c>
      <c r="I65" t="s">
        <v>113</v>
      </c>
      <c r="J65" t="s">
        <v>49</v>
      </c>
      <c r="K65">
        <v>4</v>
      </c>
      <c r="L65">
        <v>3</v>
      </c>
      <c r="M65" t="s">
        <v>52</v>
      </c>
      <c r="N65" t="s">
        <v>421</v>
      </c>
      <c r="O65">
        <v>81</v>
      </c>
      <c r="P65" t="s">
        <v>412</v>
      </c>
      <c r="Q65" s="20">
        <v>0.85</v>
      </c>
      <c r="R65" t="s">
        <v>54</v>
      </c>
      <c r="S65" t="s">
        <v>91</v>
      </c>
      <c r="T65" t="s">
        <v>63</v>
      </c>
      <c r="U65" t="s">
        <v>413</v>
      </c>
      <c r="V65">
        <f>WEEKNUM(tblStudyData[[#This Row],[Date]],2)</f>
        <v>35</v>
      </c>
    </row>
    <row r="66" spans="1:22" x14ac:dyDescent="0.3">
      <c r="A66" t="s">
        <v>166</v>
      </c>
      <c r="B66" s="5">
        <v>46252</v>
      </c>
      <c r="C66" t="s">
        <v>29</v>
      </c>
      <c r="D66" t="str">
        <f>_xlfn.XLOOKUP(tblStudyData[[#This Row],[Student_ID]],tblStudents[Student_ID],tblStudents[Student_Name],"")</f>
        <v>Sneha</v>
      </c>
      <c r="E66" t="str">
        <f>_xlfn.XLOOKUP(tblStudyData[[#This Row],[Student_ID]],tblStudents[Student_ID],tblStudents[Gender],"")</f>
        <v>Female</v>
      </c>
      <c r="F66">
        <f>_xlfn.XLOOKUP(tblStudyData[[#This Row],[Student_ID]],tblStudents[Student_ID],tblStudents[Grade],"")</f>
        <v>0</v>
      </c>
      <c r="G66" t="str">
        <f>_xlfn.XLOOKUP(tblStudyData[[#This Row],[Student_ID]],tblStudents[Student_ID],tblStudents[Class],"")</f>
        <v>B</v>
      </c>
      <c r="H66" t="s">
        <v>86</v>
      </c>
      <c r="I66" t="s">
        <v>113</v>
      </c>
      <c r="J66" t="s">
        <v>88</v>
      </c>
      <c r="K66">
        <v>2</v>
      </c>
      <c r="L66">
        <v>1.3</v>
      </c>
      <c r="M66" t="s">
        <v>52</v>
      </c>
      <c r="N66" t="s">
        <v>420</v>
      </c>
      <c r="O66">
        <v>45</v>
      </c>
      <c r="P66" t="s">
        <v>412</v>
      </c>
      <c r="Q66" s="20">
        <v>0.8</v>
      </c>
      <c r="R66" t="s">
        <v>56</v>
      </c>
      <c r="S66" t="s">
        <v>60</v>
      </c>
      <c r="T66" t="s">
        <v>93</v>
      </c>
      <c r="U66" t="s">
        <v>413</v>
      </c>
      <c r="V66">
        <f>WEEKNUM(tblStudyData[[#This Row],[Date]],2)</f>
        <v>34</v>
      </c>
    </row>
    <row r="67" spans="1:22" x14ac:dyDescent="0.3">
      <c r="A67" t="s">
        <v>167</v>
      </c>
      <c r="B67" s="5">
        <v>46257</v>
      </c>
      <c r="C67" t="s">
        <v>74</v>
      </c>
      <c r="D67" t="str">
        <f>_xlfn.XLOOKUP(tblStudyData[[#This Row],[Student_ID]],tblStudents[Student_ID],tblStudents[Student_Name],"")</f>
        <v>Kavya</v>
      </c>
      <c r="E67" t="str">
        <f>_xlfn.XLOOKUP(tblStudyData[[#This Row],[Student_ID]],tblStudents[Student_ID],tblStudents[Gender],"")</f>
        <v>Female</v>
      </c>
      <c r="F67">
        <f>_xlfn.XLOOKUP(tblStudyData[[#This Row],[Student_ID]],tblStudents[Student_ID],tblStudents[Grade],"")</f>
        <v>11</v>
      </c>
      <c r="G67" t="str">
        <f>_xlfn.XLOOKUP(tblStudyData[[#This Row],[Student_ID]],tblStudents[Student_ID],tblStudents[Class],"")</f>
        <v>A</v>
      </c>
      <c r="H67" t="s">
        <v>40</v>
      </c>
      <c r="I67" t="s">
        <v>113</v>
      </c>
      <c r="J67" t="s">
        <v>51</v>
      </c>
      <c r="K67">
        <v>1</v>
      </c>
      <c r="L67">
        <v>0.7</v>
      </c>
      <c r="M67" t="s">
        <v>52</v>
      </c>
      <c r="N67" t="s">
        <v>420</v>
      </c>
      <c r="O67">
        <v>73</v>
      </c>
      <c r="P67" t="s">
        <v>412</v>
      </c>
      <c r="Q67" s="20">
        <v>0.78</v>
      </c>
      <c r="R67" t="s">
        <v>56</v>
      </c>
      <c r="S67" t="s">
        <v>57</v>
      </c>
      <c r="T67" t="s">
        <v>65</v>
      </c>
      <c r="U67" t="s">
        <v>413</v>
      </c>
      <c r="V67">
        <f>WEEKNUM(tblStudyData[[#This Row],[Date]],2)</f>
        <v>34</v>
      </c>
    </row>
    <row r="68" spans="1:22" x14ac:dyDescent="0.3">
      <c r="A68" t="s">
        <v>168</v>
      </c>
      <c r="B68" s="5">
        <v>46241</v>
      </c>
      <c r="C68" t="s">
        <v>75</v>
      </c>
      <c r="D68" t="str">
        <f>_xlfn.XLOOKUP(tblStudyData[[#This Row],[Student_ID]],tblStudents[Student_ID],tblStudents[Student_Name],"")</f>
        <v>Akhil</v>
      </c>
      <c r="E68" t="str">
        <f>_xlfn.XLOOKUP(tblStudyData[[#This Row],[Student_ID]],tblStudents[Student_ID],tblStudents[Gender],"")</f>
        <v>Male</v>
      </c>
      <c r="F68">
        <f>_xlfn.XLOOKUP(tblStudyData[[#This Row],[Student_ID]],tblStudents[Student_ID],tblStudents[Grade],"")</f>
        <v>9</v>
      </c>
      <c r="G68" t="str">
        <f>_xlfn.XLOOKUP(tblStudyData[[#This Row],[Student_ID]],tblStudents[Student_ID],tblStudents[Class],"")</f>
        <v>A</v>
      </c>
      <c r="H68" t="s">
        <v>42</v>
      </c>
      <c r="I68" t="s">
        <v>113</v>
      </c>
      <c r="J68" t="s">
        <v>50</v>
      </c>
      <c r="K68">
        <v>2</v>
      </c>
      <c r="L68">
        <v>1.6</v>
      </c>
      <c r="M68" t="s">
        <v>52</v>
      </c>
      <c r="N68" t="s">
        <v>420</v>
      </c>
      <c r="O68">
        <v>91</v>
      </c>
      <c r="P68" t="s">
        <v>409</v>
      </c>
      <c r="Q68" s="20">
        <f>IF(tblStudyData[[#This Row],[Attendence_Status]]="Present",100%,IF(tblStudyData[[#This Row],[Attendence_Status]]="Late",80%,IF(tblStudyData[[#This Row],[Attendence_Status]]="Absent",0%,"")))</f>
        <v>0.8</v>
      </c>
      <c r="R68" t="s">
        <v>56</v>
      </c>
      <c r="S68" t="s">
        <v>57</v>
      </c>
      <c r="T68" t="s">
        <v>65</v>
      </c>
      <c r="U68" t="s">
        <v>411</v>
      </c>
      <c r="V68">
        <f>WEEKNUM(tblStudyData[[#This Row],[Date]],2)</f>
        <v>32</v>
      </c>
    </row>
    <row r="69" spans="1:22" x14ac:dyDescent="0.3">
      <c r="A69" t="s">
        <v>169</v>
      </c>
      <c r="B69" s="5">
        <v>46263</v>
      </c>
      <c r="C69" t="s">
        <v>67</v>
      </c>
      <c r="D69" t="str">
        <f>_xlfn.XLOOKUP(tblStudyData[[#This Row],[Student_ID]],tblStudents[Student_ID],tblStudents[Student_Name],"")</f>
        <v>Rohit</v>
      </c>
      <c r="E69" t="str">
        <f>_xlfn.XLOOKUP(tblStudyData[[#This Row],[Student_ID]],tblStudents[Student_ID],tblStudents[Gender],"")</f>
        <v>Male</v>
      </c>
      <c r="F69">
        <f>_xlfn.XLOOKUP(tblStudyData[[#This Row],[Student_ID]],tblStudents[Student_ID],tblStudents[Grade],"")</f>
        <v>9</v>
      </c>
      <c r="G69" t="str">
        <f>_xlfn.XLOOKUP(tblStudyData[[#This Row],[Student_ID]],tblStudents[Student_ID],tblStudents[Class],"")</f>
        <v>A</v>
      </c>
      <c r="H69" t="s">
        <v>41</v>
      </c>
      <c r="I69" t="s">
        <v>113</v>
      </c>
      <c r="J69" t="s">
        <v>88</v>
      </c>
      <c r="K69">
        <v>4</v>
      </c>
      <c r="L69">
        <v>2.8</v>
      </c>
      <c r="M69" t="s">
        <v>52</v>
      </c>
      <c r="N69" t="s">
        <v>420</v>
      </c>
      <c r="O69">
        <v>88</v>
      </c>
      <c r="P69" t="s">
        <v>53</v>
      </c>
      <c r="Q69" s="20">
        <f>IF(tblStudyData[[#This Row],[Attendence_Status]]="Present",100%,IF(tblStudyData[[#This Row],[Attendence_Status]]="Late",80%,IF(tblStudyData[[#This Row],[Attendence_Status]]="Absent",0%,"")))</f>
        <v>1</v>
      </c>
      <c r="R69" t="s">
        <v>54</v>
      </c>
      <c r="S69" t="s">
        <v>59</v>
      </c>
      <c r="T69" t="s">
        <v>64</v>
      </c>
      <c r="U69" t="s">
        <v>410</v>
      </c>
      <c r="V69">
        <f>WEEKNUM(tblStudyData[[#This Row],[Date]],2)</f>
        <v>35</v>
      </c>
    </row>
    <row r="70" spans="1:22" x14ac:dyDescent="0.3">
      <c r="A70" t="s">
        <v>170</v>
      </c>
      <c r="B70" s="5">
        <v>46261</v>
      </c>
      <c r="C70" t="s">
        <v>72</v>
      </c>
      <c r="D70" t="str">
        <f>_xlfn.XLOOKUP(tblStudyData[[#This Row],[Student_ID]],tblStudents[Student_ID],tblStudents[Student_Name],"")</f>
        <v>Pooja</v>
      </c>
      <c r="E70" t="str">
        <f>_xlfn.XLOOKUP(tblStudyData[[#This Row],[Student_ID]],tblStudents[Student_ID],tblStudents[Gender],"")</f>
        <v>Female</v>
      </c>
      <c r="F70">
        <f>_xlfn.XLOOKUP(tblStudyData[[#This Row],[Student_ID]],tblStudents[Student_ID],tblStudents[Grade],"")</f>
        <v>12</v>
      </c>
      <c r="G70" t="str">
        <f>_xlfn.XLOOKUP(tblStudyData[[#This Row],[Student_ID]],tblStudents[Student_ID],tblStudents[Class],"")</f>
        <v>A</v>
      </c>
      <c r="H70" t="s">
        <v>40</v>
      </c>
      <c r="I70" t="s">
        <v>113</v>
      </c>
      <c r="J70" t="s">
        <v>88</v>
      </c>
      <c r="K70">
        <v>1</v>
      </c>
      <c r="L70">
        <v>0.8</v>
      </c>
      <c r="M70" t="s">
        <v>52</v>
      </c>
      <c r="N70" t="s">
        <v>420</v>
      </c>
      <c r="O70">
        <v>45</v>
      </c>
      <c r="P70" t="s">
        <v>53</v>
      </c>
      <c r="Q70" s="20">
        <f>IF(tblStudyData[[#This Row],[Attendence_Status]]="Present",100%,IF(tblStudyData[[#This Row],[Attendence_Status]]="Late",80%,IF(tblStudyData[[#This Row],[Attendence_Status]]="Absent",0%,"")))</f>
        <v>1</v>
      </c>
      <c r="R70" t="s">
        <v>54</v>
      </c>
      <c r="S70" t="s">
        <v>60</v>
      </c>
      <c r="T70" t="s">
        <v>63</v>
      </c>
      <c r="U70" t="s">
        <v>411</v>
      </c>
      <c r="V70">
        <f>WEEKNUM(tblStudyData[[#This Row],[Date]],2)</f>
        <v>35</v>
      </c>
    </row>
    <row r="71" spans="1:22" x14ac:dyDescent="0.3">
      <c r="A71" t="s">
        <v>171</v>
      </c>
      <c r="B71" s="5">
        <v>46251</v>
      </c>
      <c r="C71" t="s">
        <v>28</v>
      </c>
      <c r="D71" t="str">
        <f>_xlfn.XLOOKUP(tblStudyData[[#This Row],[Student_ID]],tblStudents[Student_ID],tblStudents[Student_Name],"")</f>
        <v>Arjun</v>
      </c>
      <c r="E71" t="str">
        <f>_xlfn.XLOOKUP(tblStudyData[[#This Row],[Student_ID]],tblStudents[Student_ID],tblStudents[Gender],"")</f>
        <v>Male</v>
      </c>
      <c r="F71">
        <f>_xlfn.XLOOKUP(tblStudyData[[#This Row],[Student_ID]],tblStudents[Student_ID],tblStudents[Grade],"")</f>
        <v>11</v>
      </c>
      <c r="G71" t="str">
        <f>_xlfn.XLOOKUP(tblStudyData[[#This Row],[Student_ID]],tblStudents[Student_ID],tblStudents[Class],"")</f>
        <v>B</v>
      </c>
      <c r="H71" t="s">
        <v>43</v>
      </c>
      <c r="I71" t="s">
        <v>113</v>
      </c>
      <c r="J71" t="s">
        <v>51</v>
      </c>
      <c r="K71">
        <v>2</v>
      </c>
      <c r="L71">
        <v>1.4</v>
      </c>
      <c r="M71" t="s">
        <v>52</v>
      </c>
      <c r="N71" t="s">
        <v>420</v>
      </c>
      <c r="O71">
        <v>79</v>
      </c>
      <c r="P71" t="s">
        <v>53</v>
      </c>
      <c r="Q71" s="20">
        <f>IF(tblStudyData[[#This Row],[Attendence_Status]]="Present",100%,IF(tblStudyData[[#This Row],[Attendence_Status]]="Late",80%,IF(tblStudyData[[#This Row],[Attendence_Status]]="Absent",0%,"")))</f>
        <v>1</v>
      </c>
      <c r="R71" t="s">
        <v>56</v>
      </c>
      <c r="S71" t="s">
        <v>57</v>
      </c>
      <c r="T71" t="s">
        <v>64</v>
      </c>
      <c r="U71" t="s">
        <v>411</v>
      </c>
      <c r="V71">
        <f>WEEKNUM(tblStudyData[[#This Row],[Date]],2)</f>
        <v>34</v>
      </c>
    </row>
    <row r="72" spans="1:22" x14ac:dyDescent="0.3">
      <c r="A72" t="s">
        <v>172</v>
      </c>
      <c r="B72" s="5">
        <v>46240</v>
      </c>
      <c r="C72" t="s">
        <v>30</v>
      </c>
      <c r="D72" t="str">
        <f>_xlfn.XLOOKUP(tblStudyData[[#This Row],[Student_ID]],tblStudents[Student_ID],tblStudents[Student_Name],"")</f>
        <v>Kiran</v>
      </c>
      <c r="E72" t="str">
        <f>_xlfn.XLOOKUP(tblStudyData[[#This Row],[Student_ID]],tblStudents[Student_ID],tblStudents[Gender],"")</f>
        <v>Male</v>
      </c>
      <c r="F72">
        <f>_xlfn.XLOOKUP(tblStudyData[[#This Row],[Student_ID]],tblStudents[Student_ID],tblStudents[Grade],"")</f>
        <v>12</v>
      </c>
      <c r="G72" t="str">
        <f>_xlfn.XLOOKUP(tblStudyData[[#This Row],[Student_ID]],tblStudents[Student_ID],tblStudents[Class],"")</f>
        <v>A</v>
      </c>
      <c r="H72" t="s">
        <v>43</v>
      </c>
      <c r="I72" t="s">
        <v>113</v>
      </c>
      <c r="J72" t="s">
        <v>50</v>
      </c>
      <c r="K72">
        <v>1</v>
      </c>
      <c r="L72">
        <v>0.7</v>
      </c>
      <c r="M72" t="s">
        <v>52</v>
      </c>
      <c r="N72" t="s">
        <v>420</v>
      </c>
      <c r="O72">
        <v>72</v>
      </c>
      <c r="P72" t="s">
        <v>409</v>
      </c>
      <c r="Q72" s="20">
        <f>IF(tblStudyData[[#This Row],[Attendence_Status]]="Present",100%,IF(tblStudyData[[#This Row],[Attendence_Status]]="Late",80%,IF(tblStudyData[[#This Row],[Attendence_Status]]="Absent",0%,"")))</f>
        <v>0.8</v>
      </c>
      <c r="R72" t="s">
        <v>55</v>
      </c>
      <c r="S72" t="s">
        <v>90</v>
      </c>
      <c r="T72" t="s">
        <v>62</v>
      </c>
      <c r="U72" t="s">
        <v>411</v>
      </c>
      <c r="V72">
        <f>WEEKNUM(tblStudyData[[#This Row],[Date]],2)</f>
        <v>32</v>
      </c>
    </row>
    <row r="73" spans="1:22" x14ac:dyDescent="0.3">
      <c r="A73" t="s">
        <v>173</v>
      </c>
      <c r="B73" s="5">
        <v>46249</v>
      </c>
      <c r="C73" t="s">
        <v>66</v>
      </c>
      <c r="D73" t="str">
        <f>_xlfn.XLOOKUP(tblStudyData[[#This Row],[Student_ID]],tblStudents[Student_ID],tblStudents[Student_Name],"")</f>
        <v>Anjali</v>
      </c>
      <c r="E73" t="str">
        <f>_xlfn.XLOOKUP(tblStudyData[[#This Row],[Student_ID]],tblStudents[Student_ID],tblStudents[Gender],"")</f>
        <v>Female</v>
      </c>
      <c r="F73">
        <f>_xlfn.XLOOKUP(tblStudyData[[#This Row],[Student_ID]],tblStudents[Student_ID],tblStudents[Grade],"")</f>
        <v>11</v>
      </c>
      <c r="G73" t="str">
        <f>_xlfn.XLOOKUP(tblStudyData[[#This Row],[Student_ID]],tblStudents[Student_ID],tblStudents[Class],"")</f>
        <v>A</v>
      </c>
      <c r="H73" t="s">
        <v>44</v>
      </c>
      <c r="I73" t="s">
        <v>113</v>
      </c>
      <c r="J73" t="s">
        <v>88</v>
      </c>
      <c r="K73">
        <v>4</v>
      </c>
      <c r="L73">
        <v>2.9</v>
      </c>
      <c r="M73" t="s">
        <v>52</v>
      </c>
      <c r="N73" t="s">
        <v>420</v>
      </c>
      <c r="O73">
        <v>80</v>
      </c>
      <c r="P73" t="s">
        <v>409</v>
      </c>
      <c r="Q73" s="20">
        <f>IF(tblStudyData[[#This Row],[Attendence_Status]]="Present",100%,IF(tblStudyData[[#This Row],[Attendence_Status]]="Late",80%,IF(tblStudyData[[#This Row],[Attendence_Status]]="Absent",0%,"")))</f>
        <v>0.8</v>
      </c>
      <c r="R73" t="s">
        <v>54</v>
      </c>
      <c r="S73" t="s">
        <v>60</v>
      </c>
      <c r="T73" t="s">
        <v>65</v>
      </c>
      <c r="U73" t="s">
        <v>411</v>
      </c>
      <c r="V73">
        <f>WEEKNUM(tblStudyData[[#This Row],[Date]],2)</f>
        <v>33</v>
      </c>
    </row>
    <row r="74" spans="1:22" x14ac:dyDescent="0.3">
      <c r="A74" t="s">
        <v>174</v>
      </c>
      <c r="B74" s="5">
        <v>46259</v>
      </c>
      <c r="C74" t="s">
        <v>68</v>
      </c>
      <c r="D74" t="str">
        <f>_xlfn.XLOOKUP(tblStudyData[[#This Row],[Student_ID]],tblStudents[Student_ID],tblStudents[Student_Name],"")</f>
        <v>Divya</v>
      </c>
      <c r="E74" t="str">
        <f>_xlfn.XLOOKUP(tblStudyData[[#This Row],[Student_ID]],tblStudents[Student_ID],tblStudents[Gender],"")</f>
        <v>Female</v>
      </c>
      <c r="F74">
        <f>_xlfn.XLOOKUP(tblStudyData[[#This Row],[Student_ID]],tblStudents[Student_ID],tblStudents[Grade],"")</f>
        <v>12</v>
      </c>
      <c r="G74" t="str">
        <f>_xlfn.XLOOKUP(tblStudyData[[#This Row],[Student_ID]],tblStudents[Student_ID],tblStudents[Class],"")</f>
        <v>B</v>
      </c>
      <c r="H74" t="s">
        <v>42</v>
      </c>
      <c r="I74" t="s">
        <v>113</v>
      </c>
      <c r="J74" t="s">
        <v>51</v>
      </c>
      <c r="K74">
        <v>3</v>
      </c>
      <c r="L74">
        <v>2.7</v>
      </c>
      <c r="M74" t="s">
        <v>52</v>
      </c>
      <c r="N74" t="s">
        <v>420</v>
      </c>
      <c r="O74">
        <v>83</v>
      </c>
      <c r="P74" t="s">
        <v>409</v>
      </c>
      <c r="Q74" s="20">
        <f>IF(tblStudyData[[#This Row],[Attendence_Status]]="Present",100%,IF(tblStudyData[[#This Row],[Attendence_Status]]="Late",80%,IF(tblStudyData[[#This Row],[Attendence_Status]]="Absent",0%,"")))</f>
        <v>0.8</v>
      </c>
      <c r="R74" t="s">
        <v>56</v>
      </c>
      <c r="S74" t="s">
        <v>90</v>
      </c>
      <c r="T74" t="s">
        <v>63</v>
      </c>
      <c r="U74" t="s">
        <v>410</v>
      </c>
      <c r="V74">
        <f>WEEKNUM(tblStudyData[[#This Row],[Date]],2)</f>
        <v>35</v>
      </c>
    </row>
    <row r="75" spans="1:22" x14ac:dyDescent="0.3">
      <c r="A75" t="s">
        <v>175</v>
      </c>
      <c r="B75" s="5">
        <v>46252</v>
      </c>
      <c r="C75" t="s">
        <v>66</v>
      </c>
      <c r="D75" t="str">
        <f>_xlfn.XLOOKUP(tblStudyData[[#This Row],[Student_ID]],tblStudents[Student_ID],tblStudents[Student_Name],"")</f>
        <v>Anjali</v>
      </c>
      <c r="E75" t="str">
        <f>_xlfn.XLOOKUP(tblStudyData[[#This Row],[Student_ID]],tblStudents[Student_ID],tblStudents[Gender],"")</f>
        <v>Female</v>
      </c>
      <c r="F75">
        <f>_xlfn.XLOOKUP(tblStudyData[[#This Row],[Student_ID]],tblStudents[Student_ID],tblStudents[Grade],"")</f>
        <v>11</v>
      </c>
      <c r="G75" t="str">
        <f>_xlfn.XLOOKUP(tblStudyData[[#This Row],[Student_ID]],tblStudents[Student_ID],tblStudents[Class],"")</f>
        <v>A</v>
      </c>
      <c r="H75" t="s">
        <v>86</v>
      </c>
      <c r="I75" t="s">
        <v>113</v>
      </c>
      <c r="J75" t="s">
        <v>51</v>
      </c>
      <c r="K75">
        <v>4</v>
      </c>
      <c r="L75">
        <v>3.2</v>
      </c>
      <c r="M75" t="s">
        <v>52</v>
      </c>
      <c r="N75" t="s">
        <v>420</v>
      </c>
      <c r="O75">
        <v>85</v>
      </c>
      <c r="P75" t="s">
        <v>409</v>
      </c>
      <c r="Q75" s="20">
        <f>IF(tblStudyData[[#This Row],[Attendence_Status]]="Present",100%,IF(tblStudyData[[#This Row],[Attendence_Status]]="Late",80%,IF(tblStudyData[[#This Row],[Attendence_Status]]="Absent",0%,"")))</f>
        <v>0.8</v>
      </c>
      <c r="R75" t="s">
        <v>54</v>
      </c>
      <c r="S75" t="s">
        <v>57</v>
      </c>
      <c r="T75" t="s">
        <v>63</v>
      </c>
      <c r="U75" t="s">
        <v>410</v>
      </c>
      <c r="V75">
        <f>WEEKNUM(tblStudyData[[#This Row],[Date]],2)</f>
        <v>34</v>
      </c>
    </row>
    <row r="76" spans="1:22" x14ac:dyDescent="0.3">
      <c r="A76" t="s">
        <v>176</v>
      </c>
      <c r="B76" s="5">
        <v>46263</v>
      </c>
      <c r="C76" t="s">
        <v>73</v>
      </c>
      <c r="D76" t="str">
        <f>_xlfn.XLOOKUP(tblStudyData[[#This Row],[Student_ID]],tblStudents[Student_ID],tblStudents[Student_Name],"")</f>
        <v>Naveen</v>
      </c>
      <c r="E76" t="str">
        <f>_xlfn.XLOOKUP(tblStudyData[[#This Row],[Student_ID]],tblStudents[Student_ID],tblStudents[Gender],"")</f>
        <v>Male</v>
      </c>
      <c r="F76">
        <f>_xlfn.XLOOKUP(tblStudyData[[#This Row],[Student_ID]],tblStudents[Student_ID],tblStudents[Grade],"")</f>
        <v>10</v>
      </c>
      <c r="G76" t="str">
        <f>_xlfn.XLOOKUP(tblStudyData[[#This Row],[Student_ID]],tblStudents[Student_ID],tblStudents[Class],"")</f>
        <v>A</v>
      </c>
      <c r="H76" t="s">
        <v>42</v>
      </c>
      <c r="I76" t="s">
        <v>113</v>
      </c>
      <c r="J76" t="s">
        <v>50</v>
      </c>
      <c r="K76">
        <v>1</v>
      </c>
      <c r="L76">
        <v>0.9</v>
      </c>
      <c r="M76" t="s">
        <v>52</v>
      </c>
      <c r="N76" t="s">
        <v>420</v>
      </c>
      <c r="O76">
        <v>75</v>
      </c>
      <c r="P76" t="s">
        <v>53</v>
      </c>
      <c r="Q76" s="20">
        <f>IF(tblStudyData[[#This Row],[Attendence_Status]]="Present",100%,IF(tblStudyData[[#This Row],[Attendence_Status]]="Late",80%,IF(tblStudyData[[#This Row],[Attendence_Status]]="Absent",0%,"")))</f>
        <v>1</v>
      </c>
      <c r="R76" t="s">
        <v>55</v>
      </c>
      <c r="S76" t="s">
        <v>91</v>
      </c>
      <c r="T76" t="s">
        <v>65</v>
      </c>
      <c r="U76" t="s">
        <v>411</v>
      </c>
      <c r="V76">
        <f>WEEKNUM(tblStudyData[[#This Row],[Date]],2)</f>
        <v>35</v>
      </c>
    </row>
    <row r="77" spans="1:22" x14ac:dyDescent="0.3">
      <c r="A77" t="s">
        <v>177</v>
      </c>
      <c r="B77" s="5">
        <v>46244</v>
      </c>
      <c r="C77" t="s">
        <v>72</v>
      </c>
      <c r="D77" t="str">
        <f>_xlfn.XLOOKUP(tblStudyData[[#This Row],[Student_ID]],tblStudents[Student_ID],tblStudents[Student_Name],"")</f>
        <v>Pooja</v>
      </c>
      <c r="E77" t="str">
        <f>_xlfn.XLOOKUP(tblStudyData[[#This Row],[Student_ID]],tblStudents[Student_ID],tblStudents[Gender],"")</f>
        <v>Female</v>
      </c>
      <c r="F77">
        <f>_xlfn.XLOOKUP(tblStudyData[[#This Row],[Student_ID]],tblStudents[Student_ID],tblStudents[Grade],"")</f>
        <v>12</v>
      </c>
      <c r="G77" t="str">
        <f>_xlfn.XLOOKUP(tblStudyData[[#This Row],[Student_ID]],tblStudents[Student_ID],tblStudents[Class],"")</f>
        <v>A</v>
      </c>
      <c r="H77" t="s">
        <v>86</v>
      </c>
      <c r="I77" t="s">
        <v>113</v>
      </c>
      <c r="J77" t="s">
        <v>49</v>
      </c>
      <c r="K77">
        <v>4</v>
      </c>
      <c r="L77">
        <v>3.5</v>
      </c>
      <c r="M77" t="s">
        <v>52</v>
      </c>
      <c r="N77" t="s">
        <v>420</v>
      </c>
      <c r="O77">
        <v>81</v>
      </c>
      <c r="P77" t="s">
        <v>412</v>
      </c>
      <c r="Q77" s="20">
        <v>1</v>
      </c>
      <c r="R77" t="s">
        <v>56</v>
      </c>
      <c r="S77" t="s">
        <v>60</v>
      </c>
      <c r="T77" t="s">
        <v>62</v>
      </c>
      <c r="U77" t="s">
        <v>413</v>
      </c>
      <c r="V77">
        <f>WEEKNUM(tblStudyData[[#This Row],[Date]],2)</f>
        <v>33</v>
      </c>
    </row>
    <row r="78" spans="1:22" x14ac:dyDescent="0.3">
      <c r="A78" t="s">
        <v>178</v>
      </c>
      <c r="B78" s="5">
        <v>46256</v>
      </c>
      <c r="C78" t="s">
        <v>27</v>
      </c>
      <c r="D78" t="str">
        <f>_xlfn.XLOOKUP(tblStudyData[[#This Row],[Student_ID]],tblStudents[Student_ID],tblStudents[Student_Name],"")</f>
        <v>Priya</v>
      </c>
      <c r="E78" t="str">
        <f>_xlfn.XLOOKUP(tblStudyData[[#This Row],[Student_ID]],tblStudents[Student_ID],tblStudents[Gender],"")</f>
        <v>Female</v>
      </c>
      <c r="F78">
        <f>_xlfn.XLOOKUP(tblStudyData[[#This Row],[Student_ID]],tblStudents[Student_ID],tblStudents[Grade],"")</f>
        <v>10</v>
      </c>
      <c r="G78" t="str">
        <f>_xlfn.XLOOKUP(tblStudyData[[#This Row],[Student_ID]],tblStudents[Student_ID],tblStudents[Class],"")</f>
        <v>A</v>
      </c>
      <c r="H78" t="s">
        <v>43</v>
      </c>
      <c r="I78" t="s">
        <v>113</v>
      </c>
      <c r="J78" t="s">
        <v>88</v>
      </c>
      <c r="K78">
        <v>3</v>
      </c>
      <c r="L78">
        <v>2.5</v>
      </c>
      <c r="M78" t="s">
        <v>52</v>
      </c>
      <c r="N78" t="s">
        <v>420</v>
      </c>
      <c r="O78">
        <v>67</v>
      </c>
      <c r="P78" t="s">
        <v>412</v>
      </c>
      <c r="Q78" s="20">
        <v>0.78</v>
      </c>
      <c r="R78" t="s">
        <v>56</v>
      </c>
      <c r="S78" t="s">
        <v>91</v>
      </c>
      <c r="T78" t="s">
        <v>61</v>
      </c>
      <c r="U78" t="s">
        <v>413</v>
      </c>
      <c r="V78">
        <f>WEEKNUM(tblStudyData[[#This Row],[Date]],2)</f>
        <v>34</v>
      </c>
    </row>
    <row r="79" spans="1:22" x14ac:dyDescent="0.3">
      <c r="A79" t="s">
        <v>179</v>
      </c>
      <c r="B79" s="5">
        <v>46246</v>
      </c>
      <c r="C79" t="s">
        <v>27</v>
      </c>
      <c r="D79" t="str">
        <f>_xlfn.XLOOKUP(tblStudyData[[#This Row],[Student_ID]],tblStudents[Student_ID],tblStudents[Student_Name],"")</f>
        <v>Priya</v>
      </c>
      <c r="E79" t="str">
        <f>_xlfn.XLOOKUP(tblStudyData[[#This Row],[Student_ID]],tblStudents[Student_ID],tblStudents[Gender],"")</f>
        <v>Female</v>
      </c>
      <c r="F79">
        <f>_xlfn.XLOOKUP(tblStudyData[[#This Row],[Student_ID]],tblStudents[Student_ID],tblStudents[Grade],"")</f>
        <v>10</v>
      </c>
      <c r="G79" t="str">
        <f>_xlfn.XLOOKUP(tblStudyData[[#This Row],[Student_ID]],tblStudents[Student_ID],tblStudents[Class],"")</f>
        <v>A</v>
      </c>
      <c r="H79" t="s">
        <v>43</v>
      </c>
      <c r="I79" t="s">
        <v>113</v>
      </c>
      <c r="J79" t="s">
        <v>51</v>
      </c>
      <c r="K79">
        <v>2</v>
      </c>
      <c r="L79">
        <v>1.9</v>
      </c>
      <c r="M79" t="s">
        <v>52</v>
      </c>
      <c r="N79" t="s">
        <v>420</v>
      </c>
      <c r="O79">
        <v>90</v>
      </c>
      <c r="P79" t="s">
        <v>412</v>
      </c>
      <c r="Q79" s="20">
        <v>0.88</v>
      </c>
      <c r="R79" t="s">
        <v>56</v>
      </c>
      <c r="S79" t="s">
        <v>90</v>
      </c>
      <c r="T79" t="s">
        <v>93</v>
      </c>
      <c r="U79" t="s">
        <v>413</v>
      </c>
      <c r="V79">
        <f>WEEKNUM(tblStudyData[[#This Row],[Date]],2)</f>
        <v>33</v>
      </c>
    </row>
    <row r="80" spans="1:22" x14ac:dyDescent="0.3">
      <c r="A80" t="s">
        <v>180</v>
      </c>
      <c r="B80" s="5">
        <v>46235</v>
      </c>
      <c r="C80" t="s">
        <v>71</v>
      </c>
      <c r="D80" t="str">
        <f>_xlfn.XLOOKUP(tblStudyData[[#This Row],[Student_ID]],tblStudents[Student_ID],tblStudents[Student_Name],"")</f>
        <v>Sai</v>
      </c>
      <c r="E80" t="str">
        <f>_xlfn.XLOOKUP(tblStudyData[[#This Row],[Student_ID]],tblStudents[Student_ID],tblStudents[Gender],"")</f>
        <v>Male</v>
      </c>
      <c r="F80">
        <f>_xlfn.XLOOKUP(tblStudyData[[#This Row],[Student_ID]],tblStudents[Student_ID],tblStudents[Grade],"")</f>
        <v>9</v>
      </c>
      <c r="G80" t="str">
        <f>_xlfn.XLOOKUP(tblStudyData[[#This Row],[Student_ID]],tblStudents[Student_ID],tblStudents[Class],"")</f>
        <v>B</v>
      </c>
      <c r="H80" t="s">
        <v>40</v>
      </c>
      <c r="I80" t="s">
        <v>113</v>
      </c>
      <c r="J80" t="s">
        <v>88</v>
      </c>
      <c r="K80">
        <v>3</v>
      </c>
      <c r="L80">
        <v>2.6</v>
      </c>
      <c r="M80" t="s">
        <v>52</v>
      </c>
      <c r="N80" t="s">
        <v>420</v>
      </c>
      <c r="O80">
        <v>95</v>
      </c>
      <c r="P80" t="s">
        <v>409</v>
      </c>
      <c r="Q80" s="20">
        <f>IF(tblStudyData[[#This Row],[Attendence_Status]]="Present",100%,IF(tblStudyData[[#This Row],[Attendence_Status]]="Late",80%,IF(tblStudyData[[#This Row],[Attendence_Status]]="Absent",0%,"")))</f>
        <v>0.8</v>
      </c>
      <c r="R80" t="s">
        <v>55</v>
      </c>
      <c r="S80" t="s">
        <v>59</v>
      </c>
      <c r="T80" t="s">
        <v>64</v>
      </c>
      <c r="U80" t="s">
        <v>410</v>
      </c>
      <c r="V80">
        <f>WEEKNUM(tblStudyData[[#This Row],[Date]],2)</f>
        <v>31</v>
      </c>
    </row>
    <row r="81" spans="1:22" x14ac:dyDescent="0.3">
      <c r="A81" t="s">
        <v>181</v>
      </c>
      <c r="B81" s="5">
        <v>46255</v>
      </c>
      <c r="C81" t="s">
        <v>68</v>
      </c>
      <c r="D81" t="str">
        <f>_xlfn.XLOOKUP(tblStudyData[[#This Row],[Student_ID]],tblStudents[Student_ID],tblStudents[Student_Name],"")</f>
        <v>Divya</v>
      </c>
      <c r="E81" t="str">
        <f>_xlfn.XLOOKUP(tblStudyData[[#This Row],[Student_ID]],tblStudents[Student_ID],tblStudents[Gender],"")</f>
        <v>Female</v>
      </c>
      <c r="F81">
        <f>_xlfn.XLOOKUP(tblStudyData[[#This Row],[Student_ID]],tblStudents[Student_ID],tblStudents[Grade],"")</f>
        <v>12</v>
      </c>
      <c r="G81" t="str">
        <f>_xlfn.XLOOKUP(tblStudyData[[#This Row],[Student_ID]],tblStudents[Student_ID],tblStudents[Class],"")</f>
        <v>B</v>
      </c>
      <c r="H81" t="s">
        <v>42</v>
      </c>
      <c r="I81" t="s">
        <v>113</v>
      </c>
      <c r="J81" t="s">
        <v>88</v>
      </c>
      <c r="K81">
        <v>4</v>
      </c>
      <c r="L81">
        <v>3.6</v>
      </c>
      <c r="M81" t="s">
        <v>52</v>
      </c>
      <c r="N81" t="s">
        <v>420</v>
      </c>
      <c r="O81">
        <v>74</v>
      </c>
      <c r="P81" t="s">
        <v>409</v>
      </c>
      <c r="Q81" s="20">
        <f>IF(tblStudyData[[#This Row],[Attendence_Status]]="Present",100%,IF(tblStudyData[[#This Row],[Attendence_Status]]="Late",80%,IF(tblStudyData[[#This Row],[Attendence_Status]]="Absent",0%,"")))</f>
        <v>0.8</v>
      </c>
      <c r="R81" t="s">
        <v>55</v>
      </c>
      <c r="S81" t="s">
        <v>59</v>
      </c>
      <c r="T81" t="s">
        <v>64</v>
      </c>
      <c r="U81" t="s">
        <v>411</v>
      </c>
      <c r="V81">
        <f>WEEKNUM(tblStudyData[[#This Row],[Date]],2)</f>
        <v>34</v>
      </c>
    </row>
    <row r="82" spans="1:22" x14ac:dyDescent="0.3">
      <c r="A82" t="s">
        <v>182</v>
      </c>
      <c r="B82" s="5">
        <v>46251</v>
      </c>
      <c r="C82" t="s">
        <v>73</v>
      </c>
      <c r="D82" t="str">
        <f>_xlfn.XLOOKUP(tblStudyData[[#This Row],[Student_ID]],tblStudents[Student_ID],tblStudents[Student_Name],"")</f>
        <v>Naveen</v>
      </c>
      <c r="E82" t="str">
        <f>_xlfn.XLOOKUP(tblStudyData[[#This Row],[Student_ID]],tblStudents[Student_ID],tblStudents[Gender],"")</f>
        <v>Male</v>
      </c>
      <c r="F82">
        <f>_xlfn.XLOOKUP(tblStudyData[[#This Row],[Student_ID]],tblStudents[Student_ID],tblStudents[Grade],"")</f>
        <v>10</v>
      </c>
      <c r="G82" t="str">
        <f>_xlfn.XLOOKUP(tblStudyData[[#This Row],[Student_ID]],tblStudents[Student_ID],tblStudents[Class],"")</f>
        <v>A</v>
      </c>
      <c r="H82" t="s">
        <v>40</v>
      </c>
      <c r="I82" t="s">
        <v>113</v>
      </c>
      <c r="J82" t="s">
        <v>50</v>
      </c>
      <c r="K82">
        <v>1</v>
      </c>
      <c r="L82">
        <v>1</v>
      </c>
      <c r="M82" t="s">
        <v>52</v>
      </c>
      <c r="N82" t="s">
        <v>420</v>
      </c>
      <c r="O82">
        <v>86</v>
      </c>
      <c r="P82" t="s">
        <v>409</v>
      </c>
      <c r="Q82" s="20">
        <f>IF(tblStudyData[[#This Row],[Attendence_Status]]="Present",100%,IF(tblStudyData[[#This Row],[Attendence_Status]]="Late",80%,IF(tblStudyData[[#This Row],[Attendence_Status]]="Absent",0%,"")))</f>
        <v>0.8</v>
      </c>
      <c r="R82" t="s">
        <v>55</v>
      </c>
      <c r="S82" t="s">
        <v>59</v>
      </c>
      <c r="T82" t="s">
        <v>65</v>
      </c>
      <c r="U82" t="s">
        <v>410</v>
      </c>
      <c r="V82">
        <f>WEEKNUM(tblStudyData[[#This Row],[Date]],2)</f>
        <v>34</v>
      </c>
    </row>
    <row r="83" spans="1:22" x14ac:dyDescent="0.3">
      <c r="A83" t="s">
        <v>183</v>
      </c>
      <c r="B83" s="5">
        <v>46238</v>
      </c>
      <c r="C83" t="s">
        <v>69</v>
      </c>
      <c r="D83" t="str">
        <f>_xlfn.XLOOKUP(tblStudyData[[#This Row],[Student_ID]],tblStudents[Student_ID],tblStudents[Student_Name],"")</f>
        <v>Vikaram</v>
      </c>
      <c r="E83" t="str">
        <f>_xlfn.XLOOKUP(tblStudyData[[#This Row],[Student_ID]],tblStudents[Student_ID],tblStudents[Gender],"")</f>
        <v>Male</v>
      </c>
      <c r="F83">
        <f>_xlfn.XLOOKUP(tblStudyData[[#This Row],[Student_ID]],tblStudents[Student_ID],tblStudents[Grade],"")</f>
        <v>10</v>
      </c>
      <c r="G83" t="str">
        <f>_xlfn.XLOOKUP(tblStudyData[[#This Row],[Student_ID]],tblStudents[Student_ID],tblStudents[Class],"")</f>
        <v>B</v>
      </c>
      <c r="H83" t="s">
        <v>44</v>
      </c>
      <c r="I83" t="s">
        <v>113</v>
      </c>
      <c r="J83" t="s">
        <v>51</v>
      </c>
      <c r="K83">
        <v>4</v>
      </c>
      <c r="L83">
        <v>3.8</v>
      </c>
      <c r="M83" t="s">
        <v>52</v>
      </c>
      <c r="N83" t="s">
        <v>420</v>
      </c>
      <c r="O83">
        <v>76</v>
      </c>
      <c r="P83" t="s">
        <v>409</v>
      </c>
      <c r="Q83" s="20">
        <f>IF(tblStudyData[[#This Row],[Attendence_Status]]="Present",100%,IF(tblStudyData[[#This Row],[Attendence_Status]]="Late",80%,IF(tblStudyData[[#This Row],[Attendence_Status]]="Absent",0%,"")))</f>
        <v>0.8</v>
      </c>
      <c r="R83" t="s">
        <v>56</v>
      </c>
      <c r="S83" t="s">
        <v>91</v>
      </c>
      <c r="T83" t="s">
        <v>65</v>
      </c>
      <c r="U83" t="s">
        <v>411</v>
      </c>
      <c r="V83">
        <f>WEEKNUM(tblStudyData[[#This Row],[Date]],2)</f>
        <v>32</v>
      </c>
    </row>
    <row r="84" spans="1:22" x14ac:dyDescent="0.3">
      <c r="A84" t="s">
        <v>184</v>
      </c>
      <c r="B84" s="5">
        <v>46257</v>
      </c>
      <c r="C84" t="s">
        <v>74</v>
      </c>
      <c r="D84" t="str">
        <f>_xlfn.XLOOKUP(tblStudyData[[#This Row],[Student_ID]],tblStudents[Student_ID],tblStudents[Student_Name],"")</f>
        <v>Kavya</v>
      </c>
      <c r="E84" t="str">
        <f>_xlfn.XLOOKUP(tblStudyData[[#This Row],[Student_ID]],tblStudents[Student_ID],tblStudents[Gender],"")</f>
        <v>Female</v>
      </c>
      <c r="F84">
        <f>_xlfn.XLOOKUP(tblStudyData[[#This Row],[Student_ID]],tblStudents[Student_ID],tblStudents[Grade],"")</f>
        <v>11</v>
      </c>
      <c r="G84" t="str">
        <f>_xlfn.XLOOKUP(tblStudyData[[#This Row],[Student_ID]],tblStudents[Student_ID],tblStudents[Class],"")</f>
        <v>A</v>
      </c>
      <c r="H84" t="s">
        <v>42</v>
      </c>
      <c r="I84" t="s">
        <v>113</v>
      </c>
      <c r="J84" t="s">
        <v>88</v>
      </c>
      <c r="K84">
        <v>3</v>
      </c>
      <c r="L84">
        <v>2.2000000000000002</v>
      </c>
      <c r="M84" t="s">
        <v>52</v>
      </c>
      <c r="N84" t="s">
        <v>420</v>
      </c>
      <c r="O84">
        <v>77</v>
      </c>
      <c r="P84" t="s">
        <v>53</v>
      </c>
      <c r="Q84" s="20">
        <f>IF(tblStudyData[[#This Row],[Attendence_Status]]="Present",100%,IF(tblStudyData[[#This Row],[Attendence_Status]]="Late",80%,IF(tblStudyData[[#This Row],[Attendence_Status]]="Absent",0%,"")))</f>
        <v>1</v>
      </c>
      <c r="R84" t="s">
        <v>56</v>
      </c>
      <c r="S84" t="s">
        <v>59</v>
      </c>
      <c r="T84" t="s">
        <v>63</v>
      </c>
      <c r="U84" t="s">
        <v>411</v>
      </c>
      <c r="V84">
        <f>WEEKNUM(tblStudyData[[#This Row],[Date]],2)</f>
        <v>34</v>
      </c>
    </row>
    <row r="85" spans="1:22" x14ac:dyDescent="0.3">
      <c r="A85" t="s">
        <v>185</v>
      </c>
      <c r="B85" s="5">
        <v>46261</v>
      </c>
      <c r="C85" t="s">
        <v>71</v>
      </c>
      <c r="D85" t="str">
        <f>_xlfn.XLOOKUP(tblStudyData[[#This Row],[Student_ID]],tblStudents[Student_ID],tblStudents[Student_Name],"")</f>
        <v>Sai</v>
      </c>
      <c r="E85" t="str">
        <f>_xlfn.XLOOKUP(tblStudyData[[#This Row],[Student_ID]],tblStudents[Student_ID],tblStudents[Gender],"")</f>
        <v>Male</v>
      </c>
      <c r="F85">
        <f>_xlfn.XLOOKUP(tblStudyData[[#This Row],[Student_ID]],tblStudents[Student_ID],tblStudents[Grade],"")</f>
        <v>9</v>
      </c>
      <c r="G85" t="str">
        <f>_xlfn.XLOOKUP(tblStudyData[[#This Row],[Student_ID]],tblStudents[Student_ID],tblStudents[Class],"")</f>
        <v>B</v>
      </c>
      <c r="H85" t="s">
        <v>42</v>
      </c>
      <c r="I85" t="s">
        <v>113</v>
      </c>
      <c r="J85" t="s">
        <v>51</v>
      </c>
      <c r="K85">
        <v>1</v>
      </c>
      <c r="L85">
        <v>0.6</v>
      </c>
      <c r="M85" t="s">
        <v>52</v>
      </c>
      <c r="N85" t="s">
        <v>420</v>
      </c>
      <c r="O85">
        <v>87</v>
      </c>
      <c r="P85" t="s">
        <v>53</v>
      </c>
      <c r="Q85" s="20">
        <f>IF(tblStudyData[[#This Row],[Attendence_Status]]="Present",100%,IF(tblStudyData[[#This Row],[Attendence_Status]]="Late",80%,IF(tblStudyData[[#This Row],[Attendence_Status]]="Absent",0%,"")))</f>
        <v>1</v>
      </c>
      <c r="R85" t="s">
        <v>56</v>
      </c>
      <c r="S85" t="s">
        <v>59</v>
      </c>
      <c r="T85" t="s">
        <v>93</v>
      </c>
      <c r="U85" t="s">
        <v>410</v>
      </c>
      <c r="V85">
        <f>WEEKNUM(tblStudyData[[#This Row],[Date]],2)</f>
        <v>35</v>
      </c>
    </row>
    <row r="86" spans="1:22" x14ac:dyDescent="0.3">
      <c r="A86" t="s">
        <v>186</v>
      </c>
      <c r="B86" s="5">
        <v>46253</v>
      </c>
      <c r="C86" t="s">
        <v>69</v>
      </c>
      <c r="D86" t="str">
        <f>_xlfn.XLOOKUP(tblStudyData[[#This Row],[Student_ID]],tblStudents[Student_ID],tblStudents[Student_Name],"")</f>
        <v>Vikaram</v>
      </c>
      <c r="E86" t="str">
        <f>_xlfn.XLOOKUP(tblStudyData[[#This Row],[Student_ID]],tblStudents[Student_ID],tblStudents[Gender],"")</f>
        <v>Male</v>
      </c>
      <c r="F86">
        <f>_xlfn.XLOOKUP(tblStudyData[[#This Row],[Student_ID]],tblStudents[Student_ID],tblStudents[Grade],"")</f>
        <v>10</v>
      </c>
      <c r="G86" t="str">
        <f>_xlfn.XLOOKUP(tblStudyData[[#This Row],[Student_ID]],tblStudents[Student_ID],tblStudents[Class],"")</f>
        <v>B</v>
      </c>
      <c r="H86" t="s">
        <v>40</v>
      </c>
      <c r="I86" t="s">
        <v>113</v>
      </c>
      <c r="J86" t="s">
        <v>88</v>
      </c>
      <c r="K86">
        <v>3</v>
      </c>
      <c r="L86">
        <v>2.8</v>
      </c>
      <c r="M86" t="s">
        <v>52</v>
      </c>
      <c r="N86" t="s">
        <v>420</v>
      </c>
      <c r="O86">
        <v>79</v>
      </c>
      <c r="P86" t="s">
        <v>53</v>
      </c>
      <c r="Q86" s="20">
        <f>IF(tblStudyData[[#This Row],[Attendence_Status]]="Present",100%,IF(tblStudyData[[#This Row],[Attendence_Status]]="Late",80%,IF(tblStudyData[[#This Row],[Attendence_Status]]="Absent",0%,"")))</f>
        <v>1</v>
      </c>
      <c r="R86" t="s">
        <v>54</v>
      </c>
      <c r="S86" t="s">
        <v>58</v>
      </c>
      <c r="T86" t="s">
        <v>64</v>
      </c>
      <c r="U86" t="s">
        <v>411</v>
      </c>
      <c r="V86">
        <f>WEEKNUM(tblStudyData[[#This Row],[Date]],2)</f>
        <v>34</v>
      </c>
    </row>
    <row r="87" spans="1:22" x14ac:dyDescent="0.3">
      <c r="A87" t="s">
        <v>187</v>
      </c>
      <c r="B87" s="5">
        <v>46256</v>
      </c>
      <c r="C87" t="s">
        <v>71</v>
      </c>
      <c r="D87" t="str">
        <f>_xlfn.XLOOKUP(tblStudyData[[#This Row],[Student_ID]],tblStudents[Student_ID],tblStudents[Student_Name],"")</f>
        <v>Sai</v>
      </c>
      <c r="E87" t="str">
        <f>_xlfn.XLOOKUP(tblStudyData[[#This Row],[Student_ID]],tblStudents[Student_ID],tblStudents[Gender],"")</f>
        <v>Male</v>
      </c>
      <c r="F87">
        <f>_xlfn.XLOOKUP(tblStudyData[[#This Row],[Student_ID]],tblStudents[Student_ID],tblStudents[Grade],"")</f>
        <v>9</v>
      </c>
      <c r="G87" t="str">
        <f>_xlfn.XLOOKUP(tblStudyData[[#This Row],[Student_ID]],tblStudents[Student_ID],tblStudents[Class],"")</f>
        <v>B</v>
      </c>
      <c r="H87" t="s">
        <v>42</v>
      </c>
      <c r="I87" t="s">
        <v>113</v>
      </c>
      <c r="J87" t="s">
        <v>51</v>
      </c>
      <c r="K87">
        <v>3</v>
      </c>
      <c r="L87">
        <v>2.5</v>
      </c>
      <c r="M87" t="s">
        <v>52</v>
      </c>
      <c r="N87" t="s">
        <v>420</v>
      </c>
      <c r="O87">
        <v>68</v>
      </c>
      <c r="P87" t="s">
        <v>53</v>
      </c>
      <c r="Q87" s="20">
        <f>IF(tblStudyData[[#This Row],[Attendence_Status]]="Present",100%,IF(tblStudyData[[#This Row],[Attendence_Status]]="Late",80%,IF(tblStudyData[[#This Row],[Attendence_Status]]="Absent",0%,"")))</f>
        <v>1</v>
      </c>
      <c r="R87" t="s">
        <v>56</v>
      </c>
      <c r="S87" t="s">
        <v>59</v>
      </c>
      <c r="T87" t="s">
        <v>65</v>
      </c>
      <c r="U87" t="s">
        <v>413</v>
      </c>
      <c r="V87">
        <f>WEEKNUM(tblStudyData[[#This Row],[Date]],2)</f>
        <v>34</v>
      </c>
    </row>
    <row r="88" spans="1:22" x14ac:dyDescent="0.3">
      <c r="A88" t="s">
        <v>188</v>
      </c>
      <c r="B88" s="5">
        <v>46244</v>
      </c>
      <c r="C88" t="s">
        <v>27</v>
      </c>
      <c r="D88" t="str">
        <f>_xlfn.XLOOKUP(tblStudyData[[#This Row],[Student_ID]],tblStudents[Student_ID],tblStudents[Student_Name],"")</f>
        <v>Priya</v>
      </c>
      <c r="E88" t="str">
        <f>_xlfn.XLOOKUP(tblStudyData[[#This Row],[Student_ID]],tblStudents[Student_ID],tblStudents[Gender],"")</f>
        <v>Female</v>
      </c>
      <c r="F88">
        <f>_xlfn.XLOOKUP(tblStudyData[[#This Row],[Student_ID]],tblStudents[Student_ID],tblStudents[Grade],"")</f>
        <v>10</v>
      </c>
      <c r="G88" t="str">
        <f>_xlfn.XLOOKUP(tblStudyData[[#This Row],[Student_ID]],tblStudents[Student_ID],tblStudents[Class],"")</f>
        <v>A</v>
      </c>
      <c r="H88" t="s">
        <v>41</v>
      </c>
      <c r="I88" t="s">
        <v>113</v>
      </c>
      <c r="J88" t="s">
        <v>50</v>
      </c>
      <c r="K88">
        <v>4</v>
      </c>
      <c r="L88">
        <v>4</v>
      </c>
      <c r="M88" t="s">
        <v>52</v>
      </c>
      <c r="N88" t="s">
        <v>420</v>
      </c>
      <c r="O88">
        <v>93</v>
      </c>
      <c r="P88" t="s">
        <v>412</v>
      </c>
      <c r="Q88" s="20">
        <v>0.78</v>
      </c>
      <c r="R88" t="s">
        <v>54</v>
      </c>
      <c r="S88" t="s">
        <v>59</v>
      </c>
      <c r="T88" t="s">
        <v>61</v>
      </c>
      <c r="U88" t="s">
        <v>413</v>
      </c>
      <c r="V88">
        <f>WEEKNUM(tblStudyData[[#This Row],[Date]],2)</f>
        <v>33</v>
      </c>
    </row>
    <row r="89" spans="1:22" x14ac:dyDescent="0.3">
      <c r="A89" t="s">
        <v>189</v>
      </c>
      <c r="B89" s="5">
        <v>46253</v>
      </c>
      <c r="C89" t="s">
        <v>68</v>
      </c>
      <c r="D89" t="str">
        <f>_xlfn.XLOOKUP(tblStudyData[[#This Row],[Student_ID]],tblStudents[Student_ID],tblStudents[Student_Name],"")</f>
        <v>Divya</v>
      </c>
      <c r="E89" t="str">
        <f>_xlfn.XLOOKUP(tblStudyData[[#This Row],[Student_ID]],tblStudents[Student_ID],tblStudents[Gender],"")</f>
        <v>Female</v>
      </c>
      <c r="F89">
        <f>_xlfn.XLOOKUP(tblStudyData[[#This Row],[Student_ID]],tblStudents[Student_ID],tblStudents[Grade],"")</f>
        <v>12</v>
      </c>
      <c r="G89" t="str">
        <f>_xlfn.XLOOKUP(tblStudyData[[#This Row],[Student_ID]],tblStudents[Student_ID],tblStudents[Class],"")</f>
        <v>B</v>
      </c>
      <c r="H89" t="s">
        <v>40</v>
      </c>
      <c r="I89" t="s">
        <v>113</v>
      </c>
      <c r="J89" t="s">
        <v>51</v>
      </c>
      <c r="K89">
        <v>1</v>
      </c>
      <c r="L89">
        <v>0.7</v>
      </c>
      <c r="M89" t="s">
        <v>52</v>
      </c>
      <c r="N89" t="s">
        <v>420</v>
      </c>
      <c r="O89">
        <v>85</v>
      </c>
      <c r="P89" t="s">
        <v>409</v>
      </c>
      <c r="Q89" s="20">
        <f>IF(tblStudyData[[#This Row],[Attendence_Status]]="Present",100%,IF(tblStudyData[[#This Row],[Attendence_Status]]="Late",80%,IF(tblStudyData[[#This Row],[Attendence_Status]]="Absent",0%,"")))</f>
        <v>0.8</v>
      </c>
      <c r="R89" t="s">
        <v>55</v>
      </c>
      <c r="S89" t="s">
        <v>57</v>
      </c>
      <c r="T89" t="s">
        <v>64</v>
      </c>
      <c r="U89" t="s">
        <v>410</v>
      </c>
      <c r="V89">
        <f>WEEKNUM(tblStudyData[[#This Row],[Date]],2)</f>
        <v>34</v>
      </c>
    </row>
    <row r="90" spans="1:22" x14ac:dyDescent="0.3">
      <c r="A90" t="s">
        <v>190</v>
      </c>
      <c r="B90" s="5">
        <v>46260</v>
      </c>
      <c r="C90" t="s">
        <v>70</v>
      </c>
      <c r="D90" t="str">
        <f>_xlfn.XLOOKUP(tblStudyData[[#This Row],[Student_ID]],tblStudents[Student_ID],tblStudents[Student_Name],"")</f>
        <v>Neha</v>
      </c>
      <c r="E90" t="str">
        <f>_xlfn.XLOOKUP(tblStudyData[[#This Row],[Student_ID]],tblStudents[Student_ID],tblStudents[Gender],"")</f>
        <v>Female</v>
      </c>
      <c r="F90">
        <f>_xlfn.XLOOKUP(tblStudyData[[#This Row],[Student_ID]],tblStudents[Student_ID],tblStudents[Grade],"")</f>
        <v>11</v>
      </c>
      <c r="G90" t="str">
        <f>_xlfn.XLOOKUP(tblStudyData[[#This Row],[Student_ID]],tblStudents[Student_ID],tblStudents[Class],"")</f>
        <v>B</v>
      </c>
      <c r="H90" t="s">
        <v>42</v>
      </c>
      <c r="I90" t="s">
        <v>113</v>
      </c>
      <c r="J90" t="s">
        <v>88</v>
      </c>
      <c r="K90">
        <v>4</v>
      </c>
      <c r="L90">
        <v>3.4</v>
      </c>
      <c r="M90" t="s">
        <v>52</v>
      </c>
      <c r="N90" t="s">
        <v>420</v>
      </c>
      <c r="O90">
        <v>93</v>
      </c>
      <c r="P90" t="s">
        <v>53</v>
      </c>
      <c r="Q90" s="20">
        <f>IF(tblStudyData[[#This Row],[Attendence_Status]]="Present",100%,IF(tblStudyData[[#This Row],[Attendence_Status]]="Late",80%,IF(tblStudyData[[#This Row],[Attendence_Status]]="Absent",0%,"")))</f>
        <v>1</v>
      </c>
      <c r="R90" t="s">
        <v>55</v>
      </c>
      <c r="S90" t="s">
        <v>90</v>
      </c>
      <c r="T90" t="s">
        <v>64</v>
      </c>
      <c r="U90" t="s">
        <v>414</v>
      </c>
      <c r="V90">
        <f>WEEKNUM(tblStudyData[[#This Row],[Date]],2)</f>
        <v>35</v>
      </c>
    </row>
    <row r="91" spans="1:22" x14ac:dyDescent="0.3">
      <c r="A91" t="s">
        <v>191</v>
      </c>
      <c r="B91" s="5">
        <v>46256</v>
      </c>
      <c r="C91" t="s">
        <v>66</v>
      </c>
      <c r="D91" t="str">
        <f>_xlfn.XLOOKUP(tblStudyData[[#This Row],[Student_ID]],tblStudents[Student_ID],tblStudents[Student_Name],"")</f>
        <v>Anjali</v>
      </c>
      <c r="E91" t="str">
        <f>_xlfn.XLOOKUP(tblStudyData[[#This Row],[Student_ID]],tblStudents[Student_ID],tblStudents[Gender],"")</f>
        <v>Female</v>
      </c>
      <c r="F91">
        <f>_xlfn.XLOOKUP(tblStudyData[[#This Row],[Student_ID]],tblStudents[Student_ID],tblStudents[Grade],"")</f>
        <v>11</v>
      </c>
      <c r="G91" t="str">
        <f>_xlfn.XLOOKUP(tblStudyData[[#This Row],[Student_ID]],tblStudents[Student_ID],tblStudents[Class],"")</f>
        <v>A</v>
      </c>
      <c r="H91" t="s">
        <v>43</v>
      </c>
      <c r="I91" t="s">
        <v>113</v>
      </c>
      <c r="J91" t="s">
        <v>88</v>
      </c>
      <c r="K91">
        <v>3</v>
      </c>
      <c r="L91">
        <v>1.9</v>
      </c>
      <c r="M91" t="s">
        <v>52</v>
      </c>
      <c r="N91" t="s">
        <v>420</v>
      </c>
      <c r="O91">
        <v>71</v>
      </c>
      <c r="P91" t="s">
        <v>53</v>
      </c>
      <c r="Q91" s="20">
        <f>IF(tblStudyData[[#This Row],[Attendence_Status]]="Present",100%,IF(tblStudyData[[#This Row],[Attendence_Status]]="Late",80%,IF(tblStudyData[[#This Row],[Attendence_Status]]="Absent",0%,"")))</f>
        <v>1</v>
      </c>
      <c r="R91" t="s">
        <v>55</v>
      </c>
      <c r="S91" t="s">
        <v>59</v>
      </c>
      <c r="T91" t="s">
        <v>61</v>
      </c>
      <c r="U91" t="s">
        <v>411</v>
      </c>
      <c r="V91">
        <f>WEEKNUM(tblStudyData[[#This Row],[Date]],2)</f>
        <v>34</v>
      </c>
    </row>
    <row r="92" spans="1:22" x14ac:dyDescent="0.3">
      <c r="A92" t="s">
        <v>192</v>
      </c>
      <c r="B92" s="5">
        <v>46262</v>
      </c>
      <c r="C92" t="s">
        <v>66</v>
      </c>
      <c r="D92" t="str">
        <f>_xlfn.XLOOKUP(tblStudyData[[#This Row],[Student_ID]],tblStudents[Student_ID],tblStudents[Student_Name],"")</f>
        <v>Anjali</v>
      </c>
      <c r="E92" t="str">
        <f>_xlfn.XLOOKUP(tblStudyData[[#This Row],[Student_ID]],tblStudents[Student_ID],tblStudents[Gender],"")</f>
        <v>Female</v>
      </c>
      <c r="F92">
        <f>_xlfn.XLOOKUP(tblStudyData[[#This Row],[Student_ID]],tblStudents[Student_ID],tblStudents[Grade],"")</f>
        <v>11</v>
      </c>
      <c r="G92" t="str">
        <f>_xlfn.XLOOKUP(tblStudyData[[#This Row],[Student_ID]],tblStudents[Student_ID],tblStudents[Class],"")</f>
        <v>A</v>
      </c>
      <c r="H92" t="s">
        <v>42</v>
      </c>
      <c r="I92" t="s">
        <v>113</v>
      </c>
      <c r="J92" t="s">
        <v>49</v>
      </c>
      <c r="K92">
        <v>3</v>
      </c>
      <c r="L92">
        <v>2.6</v>
      </c>
      <c r="M92" t="s">
        <v>52</v>
      </c>
      <c r="N92" t="s">
        <v>420</v>
      </c>
      <c r="O92">
        <v>66</v>
      </c>
      <c r="P92" t="s">
        <v>412</v>
      </c>
      <c r="Q92" s="20">
        <v>0.88</v>
      </c>
      <c r="R92" t="s">
        <v>56</v>
      </c>
      <c r="S92" t="s">
        <v>60</v>
      </c>
      <c r="T92" t="s">
        <v>93</v>
      </c>
      <c r="U92" t="s">
        <v>413</v>
      </c>
      <c r="V92">
        <f>WEEKNUM(tblStudyData[[#This Row],[Date]],2)</f>
        <v>35</v>
      </c>
    </row>
    <row r="93" spans="1:22" x14ac:dyDescent="0.3">
      <c r="A93" t="s">
        <v>193</v>
      </c>
      <c r="B93" s="5">
        <v>46238</v>
      </c>
      <c r="C93" t="s">
        <v>28</v>
      </c>
      <c r="D93" t="str">
        <f>_xlfn.XLOOKUP(tblStudyData[[#This Row],[Student_ID]],tblStudents[Student_ID],tblStudents[Student_Name],"")</f>
        <v>Arjun</v>
      </c>
      <c r="E93" t="str">
        <f>_xlfn.XLOOKUP(tblStudyData[[#This Row],[Student_ID]],tblStudents[Student_ID],tblStudents[Gender],"")</f>
        <v>Male</v>
      </c>
      <c r="F93">
        <f>_xlfn.XLOOKUP(tblStudyData[[#This Row],[Student_ID]],tblStudents[Student_ID],tblStudents[Grade],"")</f>
        <v>11</v>
      </c>
      <c r="G93" t="str">
        <f>_xlfn.XLOOKUP(tblStudyData[[#This Row],[Student_ID]],tblStudents[Student_ID],tblStudents[Class],"")</f>
        <v>B</v>
      </c>
      <c r="H93" t="s">
        <v>41</v>
      </c>
      <c r="I93" t="s">
        <v>113</v>
      </c>
      <c r="J93" t="s">
        <v>88</v>
      </c>
      <c r="K93">
        <v>2</v>
      </c>
      <c r="L93">
        <v>2</v>
      </c>
      <c r="M93" t="s">
        <v>52</v>
      </c>
      <c r="N93" t="s">
        <v>420</v>
      </c>
      <c r="O93">
        <v>89</v>
      </c>
      <c r="P93" t="s">
        <v>53</v>
      </c>
      <c r="Q93" s="20">
        <f>IF(tblStudyData[[#This Row],[Attendence_Status]]="Present",100%,IF(tblStudyData[[#This Row],[Attendence_Status]]="Late",80%,IF(tblStudyData[[#This Row],[Attendence_Status]]="Absent",0%,"")))</f>
        <v>1</v>
      </c>
      <c r="R93" t="s">
        <v>56</v>
      </c>
      <c r="S93" t="s">
        <v>60</v>
      </c>
      <c r="T93" t="s">
        <v>61</v>
      </c>
      <c r="U93" t="s">
        <v>410</v>
      </c>
      <c r="V93">
        <f>WEEKNUM(tblStudyData[[#This Row],[Date]],2)</f>
        <v>32</v>
      </c>
    </row>
    <row r="94" spans="1:22" x14ac:dyDescent="0.3">
      <c r="A94" t="s">
        <v>194</v>
      </c>
      <c r="B94" s="5">
        <v>46253</v>
      </c>
      <c r="C94" t="s">
        <v>69</v>
      </c>
      <c r="D94" t="str">
        <f>_xlfn.XLOOKUP(tblStudyData[[#This Row],[Student_ID]],tblStudents[Student_ID],tblStudents[Student_Name],"")</f>
        <v>Vikaram</v>
      </c>
      <c r="E94" t="str">
        <f>_xlfn.XLOOKUP(tblStudyData[[#This Row],[Student_ID]],tblStudents[Student_ID],tblStudents[Gender],"")</f>
        <v>Male</v>
      </c>
      <c r="F94">
        <f>_xlfn.XLOOKUP(tblStudyData[[#This Row],[Student_ID]],tblStudents[Student_ID],tblStudents[Grade],"")</f>
        <v>10</v>
      </c>
      <c r="G94" t="str">
        <f>_xlfn.XLOOKUP(tblStudyData[[#This Row],[Student_ID]],tblStudents[Student_ID],tblStudents[Class],"")</f>
        <v>B</v>
      </c>
      <c r="H94" t="s">
        <v>40</v>
      </c>
      <c r="I94" t="s">
        <v>113</v>
      </c>
      <c r="J94" t="s">
        <v>88</v>
      </c>
      <c r="K94">
        <v>4</v>
      </c>
      <c r="L94">
        <v>3.2</v>
      </c>
      <c r="M94" t="s">
        <v>52</v>
      </c>
      <c r="N94" t="s">
        <v>420</v>
      </c>
      <c r="O94">
        <v>80</v>
      </c>
      <c r="P94" t="s">
        <v>53</v>
      </c>
      <c r="Q94" s="20">
        <f>IF(tblStudyData[[#This Row],[Attendence_Status]]="Present",100%,IF(tblStudyData[[#This Row],[Attendence_Status]]="Late",80%,IF(tblStudyData[[#This Row],[Attendence_Status]]="Absent",0%,"")))</f>
        <v>1</v>
      </c>
      <c r="R94" t="s">
        <v>55</v>
      </c>
      <c r="S94" t="s">
        <v>57</v>
      </c>
      <c r="T94" t="s">
        <v>61</v>
      </c>
      <c r="U94" t="s">
        <v>410</v>
      </c>
      <c r="V94">
        <f>WEEKNUM(tblStudyData[[#This Row],[Date]],2)</f>
        <v>34</v>
      </c>
    </row>
    <row r="95" spans="1:22" x14ac:dyDescent="0.3">
      <c r="A95" t="s">
        <v>195</v>
      </c>
      <c r="B95" s="5">
        <v>46236</v>
      </c>
      <c r="C95" t="s">
        <v>29</v>
      </c>
      <c r="D95" t="str">
        <f>_xlfn.XLOOKUP(tblStudyData[[#This Row],[Student_ID]],tblStudents[Student_ID],tblStudents[Student_Name],"")</f>
        <v>Sneha</v>
      </c>
      <c r="E95" t="str">
        <f>_xlfn.XLOOKUP(tblStudyData[[#This Row],[Student_ID]],tblStudents[Student_ID],tblStudents[Gender],"")</f>
        <v>Female</v>
      </c>
      <c r="F95">
        <f>_xlfn.XLOOKUP(tblStudyData[[#This Row],[Student_ID]],tblStudents[Student_ID],tblStudents[Grade],"")</f>
        <v>0</v>
      </c>
      <c r="G95" t="str">
        <f>_xlfn.XLOOKUP(tblStudyData[[#This Row],[Student_ID]],tblStudents[Student_ID],tblStudents[Class],"")</f>
        <v>B</v>
      </c>
      <c r="H95" t="s">
        <v>43</v>
      </c>
      <c r="I95" t="s">
        <v>113</v>
      </c>
      <c r="J95" t="s">
        <v>51</v>
      </c>
      <c r="K95">
        <v>1</v>
      </c>
      <c r="L95">
        <v>0.8</v>
      </c>
      <c r="M95" t="s">
        <v>52</v>
      </c>
      <c r="N95" t="s">
        <v>420</v>
      </c>
      <c r="O95">
        <v>88</v>
      </c>
      <c r="P95" t="s">
        <v>53</v>
      </c>
      <c r="Q95" s="20">
        <f>IF(tblStudyData[[#This Row],[Attendence_Status]]="Present",100%,IF(tblStudyData[[#This Row],[Attendence_Status]]="Late",80%,IF(tblStudyData[[#This Row],[Attendence_Status]]="Absent",0%,"")))</f>
        <v>1</v>
      </c>
      <c r="R95" t="s">
        <v>56</v>
      </c>
      <c r="S95" t="s">
        <v>59</v>
      </c>
      <c r="T95" t="s">
        <v>62</v>
      </c>
      <c r="U95" t="s">
        <v>410</v>
      </c>
      <c r="V95">
        <f>WEEKNUM(tblStudyData[[#This Row],[Date]],2)</f>
        <v>31</v>
      </c>
    </row>
    <row r="96" spans="1:22" x14ac:dyDescent="0.3">
      <c r="A96" t="s">
        <v>196</v>
      </c>
      <c r="B96" s="5">
        <v>46236</v>
      </c>
      <c r="C96" t="s">
        <v>73</v>
      </c>
      <c r="D96" t="str">
        <f>_xlfn.XLOOKUP(tblStudyData[[#This Row],[Student_ID]],tblStudents[Student_ID],tblStudents[Student_Name],"")</f>
        <v>Naveen</v>
      </c>
      <c r="E96" t="str">
        <f>_xlfn.XLOOKUP(tblStudyData[[#This Row],[Student_ID]],tblStudents[Student_ID],tblStudents[Gender],"")</f>
        <v>Male</v>
      </c>
      <c r="F96">
        <f>_xlfn.XLOOKUP(tblStudyData[[#This Row],[Student_ID]],tblStudents[Student_ID],tblStudents[Grade],"")</f>
        <v>10</v>
      </c>
      <c r="G96" t="str">
        <f>_xlfn.XLOOKUP(tblStudyData[[#This Row],[Student_ID]],tblStudents[Student_ID],tblStudents[Class],"")</f>
        <v>A</v>
      </c>
      <c r="H96" t="s">
        <v>41</v>
      </c>
      <c r="I96" t="s">
        <v>113</v>
      </c>
      <c r="J96" t="s">
        <v>50</v>
      </c>
      <c r="K96">
        <v>1</v>
      </c>
      <c r="L96">
        <v>1</v>
      </c>
      <c r="M96" t="s">
        <v>52</v>
      </c>
      <c r="N96" t="s">
        <v>420</v>
      </c>
      <c r="O96">
        <v>97</v>
      </c>
      <c r="P96" t="s">
        <v>53</v>
      </c>
      <c r="Q96" s="20">
        <f>IF(tblStudyData[[#This Row],[Attendence_Status]]="Present",100%,IF(tblStudyData[[#This Row],[Attendence_Status]]="Late",80%,IF(tblStudyData[[#This Row],[Attendence_Status]]="Absent",0%,"")))</f>
        <v>1</v>
      </c>
      <c r="R96" t="s">
        <v>54</v>
      </c>
      <c r="S96" t="s">
        <v>59</v>
      </c>
      <c r="T96" t="s">
        <v>61</v>
      </c>
      <c r="U96" t="s">
        <v>414</v>
      </c>
      <c r="V96">
        <f>WEEKNUM(tblStudyData[[#This Row],[Date]],2)</f>
        <v>31</v>
      </c>
    </row>
    <row r="97" spans="1:22" x14ac:dyDescent="0.3">
      <c r="A97" t="s">
        <v>197</v>
      </c>
      <c r="B97" s="5">
        <v>46246</v>
      </c>
      <c r="C97" t="s">
        <v>74</v>
      </c>
      <c r="D97" t="str">
        <f>_xlfn.XLOOKUP(tblStudyData[[#This Row],[Student_ID]],tblStudents[Student_ID],tblStudents[Student_Name],"")</f>
        <v>Kavya</v>
      </c>
      <c r="E97" t="str">
        <f>_xlfn.XLOOKUP(tblStudyData[[#This Row],[Student_ID]],tblStudents[Student_ID],tblStudents[Gender],"")</f>
        <v>Female</v>
      </c>
      <c r="F97">
        <f>_xlfn.XLOOKUP(tblStudyData[[#This Row],[Student_ID]],tblStudents[Student_ID],tblStudents[Grade],"")</f>
        <v>11</v>
      </c>
      <c r="G97" t="str">
        <f>_xlfn.XLOOKUP(tblStudyData[[#This Row],[Student_ID]],tblStudents[Student_ID],tblStudents[Class],"")</f>
        <v>A</v>
      </c>
      <c r="H97" t="s">
        <v>42</v>
      </c>
      <c r="I97" t="s">
        <v>113</v>
      </c>
      <c r="J97" t="s">
        <v>49</v>
      </c>
      <c r="K97">
        <v>2</v>
      </c>
      <c r="L97">
        <v>1.4</v>
      </c>
      <c r="M97" t="s">
        <v>52</v>
      </c>
      <c r="N97" t="s">
        <v>420</v>
      </c>
      <c r="O97">
        <v>74</v>
      </c>
      <c r="P97" t="s">
        <v>412</v>
      </c>
      <c r="Q97" s="20">
        <v>0.78</v>
      </c>
      <c r="R97" t="s">
        <v>55</v>
      </c>
      <c r="S97" t="s">
        <v>91</v>
      </c>
      <c r="T97" t="s">
        <v>65</v>
      </c>
      <c r="U97" t="s">
        <v>413</v>
      </c>
      <c r="V97">
        <f>WEEKNUM(tblStudyData[[#This Row],[Date]],2)</f>
        <v>33</v>
      </c>
    </row>
    <row r="98" spans="1:22" x14ac:dyDescent="0.3">
      <c r="A98" t="s">
        <v>198</v>
      </c>
      <c r="B98" s="5">
        <v>46245</v>
      </c>
      <c r="C98" t="s">
        <v>26</v>
      </c>
      <c r="D98" t="str">
        <f>_xlfn.XLOOKUP(tblStudyData[[#This Row],[Student_ID]],tblStudents[Student_ID],tblStudents[Student_Name],"")</f>
        <v>Rahul</v>
      </c>
      <c r="E98" t="str">
        <f>_xlfn.XLOOKUP(tblStudyData[[#This Row],[Student_ID]],tblStudents[Student_ID],tblStudents[Gender],"")</f>
        <v>Male</v>
      </c>
      <c r="F98">
        <f>_xlfn.XLOOKUP(tblStudyData[[#This Row],[Student_ID]],tblStudents[Student_ID],tblStudents[Grade],"")</f>
        <v>10</v>
      </c>
      <c r="G98" t="str">
        <f>_xlfn.XLOOKUP(tblStudyData[[#This Row],[Student_ID]],tblStudents[Student_ID],tblStudents[Class],"")</f>
        <v>A</v>
      </c>
      <c r="H98" t="s">
        <v>43</v>
      </c>
      <c r="I98" t="s">
        <v>113</v>
      </c>
      <c r="J98" t="s">
        <v>50</v>
      </c>
      <c r="K98">
        <v>1</v>
      </c>
      <c r="L98">
        <v>1</v>
      </c>
      <c r="M98" t="s">
        <v>52</v>
      </c>
      <c r="N98" t="s">
        <v>420</v>
      </c>
      <c r="O98">
        <v>94</v>
      </c>
      <c r="P98" t="s">
        <v>53</v>
      </c>
      <c r="Q98" s="20">
        <f>IF(tblStudyData[[#This Row],[Attendence_Status]]="Present",100%,IF(tblStudyData[[#This Row],[Attendence_Status]]="Late",80%,IF(tblStudyData[[#This Row],[Attendence_Status]]="Absent",0%,"")))</f>
        <v>1</v>
      </c>
      <c r="R98" t="s">
        <v>54</v>
      </c>
      <c r="S98" t="s">
        <v>60</v>
      </c>
      <c r="T98" t="s">
        <v>62</v>
      </c>
      <c r="U98" t="s">
        <v>414</v>
      </c>
      <c r="V98">
        <f>WEEKNUM(tblStudyData[[#This Row],[Date]],2)</f>
        <v>33</v>
      </c>
    </row>
    <row r="99" spans="1:22" x14ac:dyDescent="0.3">
      <c r="A99" t="s">
        <v>199</v>
      </c>
      <c r="B99" s="5">
        <v>46259</v>
      </c>
      <c r="C99" t="s">
        <v>66</v>
      </c>
      <c r="D99" t="str">
        <f>_xlfn.XLOOKUP(tblStudyData[[#This Row],[Student_ID]],tblStudents[Student_ID],tblStudents[Student_Name],"")</f>
        <v>Anjali</v>
      </c>
      <c r="E99" t="str">
        <f>_xlfn.XLOOKUP(tblStudyData[[#This Row],[Student_ID]],tblStudents[Student_ID],tblStudents[Gender],"")</f>
        <v>Female</v>
      </c>
      <c r="F99">
        <f>_xlfn.XLOOKUP(tblStudyData[[#This Row],[Student_ID]],tblStudents[Student_ID],tblStudents[Grade],"")</f>
        <v>11</v>
      </c>
      <c r="G99" t="str">
        <f>_xlfn.XLOOKUP(tblStudyData[[#This Row],[Student_ID]],tblStudents[Student_ID],tblStudents[Class],"")</f>
        <v>A</v>
      </c>
      <c r="H99" t="s">
        <v>86</v>
      </c>
      <c r="I99" t="s">
        <v>113</v>
      </c>
      <c r="J99" t="s">
        <v>49</v>
      </c>
      <c r="K99">
        <v>2</v>
      </c>
      <c r="L99">
        <v>1.5</v>
      </c>
      <c r="M99" t="s">
        <v>52</v>
      </c>
      <c r="N99" t="s">
        <v>420</v>
      </c>
      <c r="O99">
        <v>78</v>
      </c>
      <c r="P99" t="s">
        <v>53</v>
      </c>
      <c r="Q99" s="20">
        <f>IF(tblStudyData[[#This Row],[Attendence_Status]]="Present",100%,IF(tblStudyData[[#This Row],[Attendence_Status]]="Late",80%,IF(tblStudyData[[#This Row],[Attendence_Status]]="Absent",0%,"")))</f>
        <v>1</v>
      </c>
      <c r="R99" t="s">
        <v>54</v>
      </c>
      <c r="S99" t="s">
        <v>58</v>
      </c>
      <c r="T99" t="s">
        <v>62</v>
      </c>
      <c r="U99" t="s">
        <v>411</v>
      </c>
      <c r="V99">
        <f>WEEKNUM(tblStudyData[[#This Row],[Date]],2)</f>
        <v>35</v>
      </c>
    </row>
    <row r="100" spans="1:22" x14ac:dyDescent="0.3">
      <c r="A100" t="s">
        <v>200</v>
      </c>
      <c r="B100" s="5">
        <v>46248</v>
      </c>
      <c r="C100" t="s">
        <v>30</v>
      </c>
      <c r="D100" t="str">
        <f>_xlfn.XLOOKUP(tblStudyData[[#This Row],[Student_ID]],tblStudents[Student_ID],tblStudents[Student_Name],"")</f>
        <v>Kiran</v>
      </c>
      <c r="E100" t="str">
        <f>_xlfn.XLOOKUP(tblStudyData[[#This Row],[Student_ID]],tblStudents[Student_ID],tblStudents[Gender],"")</f>
        <v>Male</v>
      </c>
      <c r="F100">
        <f>_xlfn.XLOOKUP(tblStudyData[[#This Row],[Student_ID]],tblStudents[Student_ID],tblStudents[Grade],"")</f>
        <v>12</v>
      </c>
      <c r="G100" t="str">
        <f>_xlfn.XLOOKUP(tblStudyData[[#This Row],[Student_ID]],tblStudents[Student_ID],tblStudents[Class],"")</f>
        <v>A</v>
      </c>
      <c r="H100" t="s">
        <v>44</v>
      </c>
      <c r="I100" t="s">
        <v>113</v>
      </c>
      <c r="J100" t="s">
        <v>49</v>
      </c>
      <c r="K100">
        <v>4</v>
      </c>
      <c r="L100">
        <v>3.2</v>
      </c>
      <c r="M100" t="s">
        <v>52</v>
      </c>
      <c r="N100" t="s">
        <v>420</v>
      </c>
      <c r="O100">
        <v>76</v>
      </c>
      <c r="P100" t="s">
        <v>409</v>
      </c>
      <c r="Q100" s="20">
        <f>IF(tblStudyData[[#This Row],[Attendence_Status]]="Present",100%,IF(tblStudyData[[#This Row],[Attendence_Status]]="Late",80%,IF(tblStudyData[[#This Row],[Attendence_Status]]="Absent",0%,"")))</f>
        <v>0.8</v>
      </c>
      <c r="R100" t="s">
        <v>54</v>
      </c>
      <c r="S100" t="s">
        <v>90</v>
      </c>
      <c r="T100" t="s">
        <v>65</v>
      </c>
      <c r="U100" t="s">
        <v>411</v>
      </c>
      <c r="V100">
        <f>WEEKNUM(tblStudyData[[#This Row],[Date]],2)</f>
        <v>33</v>
      </c>
    </row>
    <row r="101" spans="1:22" x14ac:dyDescent="0.3">
      <c r="A101" t="s">
        <v>201</v>
      </c>
      <c r="B101" s="5">
        <v>46235</v>
      </c>
      <c r="C101" t="s">
        <v>70</v>
      </c>
      <c r="D101" t="str">
        <f>_xlfn.XLOOKUP(tblStudyData[[#This Row],[Student_ID]],tblStudents[Student_ID],tblStudents[Student_Name],"")</f>
        <v>Neha</v>
      </c>
      <c r="E101" t="str">
        <f>_xlfn.XLOOKUP(tblStudyData[[#This Row],[Student_ID]],tblStudents[Student_ID],tblStudents[Gender],"")</f>
        <v>Female</v>
      </c>
      <c r="F101">
        <f>_xlfn.XLOOKUP(tblStudyData[[#This Row],[Student_ID]],tblStudents[Student_ID],tblStudents[Grade],"")</f>
        <v>11</v>
      </c>
      <c r="G101" t="str">
        <f>_xlfn.XLOOKUP(tblStudyData[[#This Row],[Student_ID]],tblStudents[Student_ID],tblStudents[Class],"")</f>
        <v>B</v>
      </c>
      <c r="H101" t="s">
        <v>40</v>
      </c>
      <c r="I101" t="s">
        <v>113</v>
      </c>
      <c r="J101" t="s">
        <v>49</v>
      </c>
      <c r="K101">
        <v>1</v>
      </c>
      <c r="L101">
        <v>0.7</v>
      </c>
      <c r="M101" t="s">
        <v>52</v>
      </c>
      <c r="N101" t="s">
        <v>420</v>
      </c>
      <c r="O101">
        <v>83</v>
      </c>
      <c r="P101" t="s">
        <v>412</v>
      </c>
      <c r="Q101" s="20">
        <v>1</v>
      </c>
      <c r="R101" t="s">
        <v>56</v>
      </c>
      <c r="S101" t="s">
        <v>90</v>
      </c>
      <c r="T101" t="s">
        <v>62</v>
      </c>
      <c r="U101" t="s">
        <v>413</v>
      </c>
      <c r="V101">
        <f>WEEKNUM(tblStudyData[[#This Row],[Date]],2)</f>
        <v>31</v>
      </c>
    </row>
    <row r="102" spans="1:22" x14ac:dyDescent="0.3">
      <c r="A102" t="s">
        <v>202</v>
      </c>
      <c r="B102" s="5">
        <v>46252</v>
      </c>
      <c r="C102" t="s">
        <v>73</v>
      </c>
      <c r="D102" t="str">
        <f>_xlfn.XLOOKUP(tblStudyData[[#This Row],[Student_ID]],tblStudents[Student_ID],tblStudents[Student_Name],"")</f>
        <v>Naveen</v>
      </c>
      <c r="E102" t="str">
        <f>_xlfn.XLOOKUP(tblStudyData[[#This Row],[Student_ID]],tblStudents[Student_ID],tblStudents[Gender],"")</f>
        <v>Male</v>
      </c>
      <c r="F102">
        <f>_xlfn.XLOOKUP(tblStudyData[[#This Row],[Student_ID]],tblStudents[Student_ID],tblStudents[Grade],"")</f>
        <v>10</v>
      </c>
      <c r="G102" t="str">
        <f>_xlfn.XLOOKUP(tblStudyData[[#This Row],[Student_ID]],tblStudents[Student_ID],tblStudents[Class],"")</f>
        <v>A</v>
      </c>
      <c r="H102" t="s">
        <v>43</v>
      </c>
      <c r="I102" t="s">
        <v>113</v>
      </c>
      <c r="J102" t="s">
        <v>49</v>
      </c>
      <c r="K102">
        <v>4</v>
      </c>
      <c r="L102">
        <v>3.4</v>
      </c>
      <c r="M102" t="s">
        <v>52</v>
      </c>
      <c r="N102" t="s">
        <v>420</v>
      </c>
      <c r="O102">
        <v>78</v>
      </c>
      <c r="P102" t="s">
        <v>409</v>
      </c>
      <c r="Q102" s="20">
        <f>IF(tblStudyData[[#This Row],[Attendence_Status]]="Present",100%,IF(tblStudyData[[#This Row],[Attendence_Status]]="Late",80%,IF(tblStudyData[[#This Row],[Attendence_Status]]="Absent",0%,"")))</f>
        <v>0.8</v>
      </c>
      <c r="R102" t="s">
        <v>55</v>
      </c>
      <c r="S102" t="s">
        <v>58</v>
      </c>
      <c r="T102" t="s">
        <v>65</v>
      </c>
      <c r="U102" t="s">
        <v>411</v>
      </c>
      <c r="V102">
        <f>WEEKNUM(tblStudyData[[#This Row],[Date]],2)</f>
        <v>34</v>
      </c>
    </row>
    <row r="103" spans="1:22" x14ac:dyDescent="0.3">
      <c r="A103" t="s">
        <v>203</v>
      </c>
      <c r="B103" s="5">
        <v>46245</v>
      </c>
      <c r="C103" t="s">
        <v>75</v>
      </c>
      <c r="D103" t="str">
        <f>_xlfn.XLOOKUP(tblStudyData[[#This Row],[Student_ID]],tblStudents[Student_ID],tblStudents[Student_Name],"")</f>
        <v>Akhil</v>
      </c>
      <c r="E103" t="str">
        <f>_xlfn.XLOOKUP(tblStudyData[[#This Row],[Student_ID]],tblStudents[Student_ID],tblStudents[Gender],"")</f>
        <v>Male</v>
      </c>
      <c r="F103">
        <f>_xlfn.XLOOKUP(tblStudyData[[#This Row],[Student_ID]],tblStudents[Student_ID],tblStudents[Grade],"")</f>
        <v>9</v>
      </c>
      <c r="G103" t="str">
        <f>_xlfn.XLOOKUP(tblStudyData[[#This Row],[Student_ID]],tblStudents[Student_ID],tblStudents[Class],"")</f>
        <v>A</v>
      </c>
      <c r="H103" t="s">
        <v>40</v>
      </c>
      <c r="I103" t="s">
        <v>113</v>
      </c>
      <c r="J103" t="s">
        <v>50</v>
      </c>
      <c r="K103">
        <v>3</v>
      </c>
      <c r="L103">
        <v>2.9</v>
      </c>
      <c r="M103" t="s">
        <v>52</v>
      </c>
      <c r="N103" t="s">
        <v>421</v>
      </c>
      <c r="O103">
        <v>81</v>
      </c>
      <c r="P103" t="s">
        <v>409</v>
      </c>
      <c r="Q103" s="20">
        <f>IF(tblStudyData[[#This Row],[Attendence_Status]]="Present",100%,IF(tblStudyData[[#This Row],[Attendence_Status]]="Late",80%,IF(tblStudyData[[#This Row],[Attendence_Status]]="Absent",0%,"")))</f>
        <v>0.8</v>
      </c>
      <c r="R103" t="s">
        <v>55</v>
      </c>
      <c r="S103" t="s">
        <v>91</v>
      </c>
      <c r="T103" t="s">
        <v>61</v>
      </c>
      <c r="U103" t="s">
        <v>410</v>
      </c>
      <c r="V103">
        <f>WEEKNUM(tblStudyData[[#This Row],[Date]],2)</f>
        <v>33</v>
      </c>
    </row>
    <row r="104" spans="1:22" x14ac:dyDescent="0.3">
      <c r="A104" t="s">
        <v>204</v>
      </c>
      <c r="B104" s="5">
        <v>46259</v>
      </c>
      <c r="C104" t="s">
        <v>70</v>
      </c>
      <c r="D104" t="str">
        <f>_xlfn.XLOOKUP(tblStudyData[[#This Row],[Student_ID]],tblStudents[Student_ID],tblStudents[Student_Name],"")</f>
        <v>Neha</v>
      </c>
      <c r="E104" t="str">
        <f>_xlfn.XLOOKUP(tblStudyData[[#This Row],[Student_ID]],tblStudents[Student_ID],tblStudents[Gender],"")</f>
        <v>Female</v>
      </c>
      <c r="F104">
        <f>_xlfn.XLOOKUP(tblStudyData[[#This Row],[Student_ID]],tblStudents[Student_ID],tblStudents[Grade],"")</f>
        <v>11</v>
      </c>
      <c r="G104" t="str">
        <f>_xlfn.XLOOKUP(tblStudyData[[#This Row],[Student_ID]],tblStudents[Student_ID],tblStudents[Class],"")</f>
        <v>B</v>
      </c>
      <c r="H104" t="s">
        <v>44</v>
      </c>
      <c r="I104" t="s">
        <v>113</v>
      </c>
      <c r="J104" t="s">
        <v>50</v>
      </c>
      <c r="K104">
        <v>4</v>
      </c>
      <c r="L104">
        <v>3.3</v>
      </c>
      <c r="M104" t="s">
        <v>52</v>
      </c>
      <c r="N104" t="s">
        <v>420</v>
      </c>
      <c r="O104">
        <v>84</v>
      </c>
      <c r="P104" t="s">
        <v>412</v>
      </c>
      <c r="Q104" s="20">
        <v>0.78</v>
      </c>
      <c r="R104" t="s">
        <v>56</v>
      </c>
      <c r="S104" t="s">
        <v>90</v>
      </c>
      <c r="T104" t="s">
        <v>63</v>
      </c>
      <c r="U104" t="s">
        <v>413</v>
      </c>
      <c r="V104">
        <f>WEEKNUM(tblStudyData[[#This Row],[Date]],2)</f>
        <v>35</v>
      </c>
    </row>
    <row r="105" spans="1:22" x14ac:dyDescent="0.3">
      <c r="A105" t="s">
        <v>205</v>
      </c>
      <c r="B105" s="5">
        <v>46254</v>
      </c>
      <c r="C105" t="s">
        <v>66</v>
      </c>
      <c r="D105" t="str">
        <f>_xlfn.XLOOKUP(tblStudyData[[#This Row],[Student_ID]],tblStudents[Student_ID],tblStudents[Student_Name],"")</f>
        <v>Anjali</v>
      </c>
      <c r="E105" t="str">
        <f>_xlfn.XLOOKUP(tblStudyData[[#This Row],[Student_ID]],tblStudents[Student_ID],tblStudents[Gender],"")</f>
        <v>Female</v>
      </c>
      <c r="F105">
        <f>_xlfn.XLOOKUP(tblStudyData[[#This Row],[Student_ID]],tblStudents[Student_ID],tblStudents[Grade],"")</f>
        <v>11</v>
      </c>
      <c r="G105" t="str">
        <f>_xlfn.XLOOKUP(tblStudyData[[#This Row],[Student_ID]],tblStudents[Student_ID],tblStudents[Class],"")</f>
        <v>A</v>
      </c>
      <c r="H105" t="s">
        <v>41</v>
      </c>
      <c r="I105" t="s">
        <v>113</v>
      </c>
      <c r="J105" t="s">
        <v>49</v>
      </c>
      <c r="K105">
        <v>3</v>
      </c>
      <c r="L105">
        <v>2.1</v>
      </c>
      <c r="M105" t="s">
        <v>52</v>
      </c>
      <c r="N105" t="s">
        <v>420</v>
      </c>
      <c r="O105">
        <v>71</v>
      </c>
      <c r="P105" t="s">
        <v>53</v>
      </c>
      <c r="Q105" s="20">
        <f>IF(tblStudyData[[#This Row],[Attendence_Status]]="Present",100%,IF(tblStudyData[[#This Row],[Attendence_Status]]="Late",80%,IF(tblStudyData[[#This Row],[Attendence_Status]]="Absent",0%,"")))</f>
        <v>1</v>
      </c>
      <c r="R105" t="s">
        <v>54</v>
      </c>
      <c r="S105" t="s">
        <v>91</v>
      </c>
      <c r="T105" t="s">
        <v>63</v>
      </c>
      <c r="U105" t="s">
        <v>411</v>
      </c>
      <c r="V105">
        <f>WEEKNUM(tblStudyData[[#This Row],[Date]],2)</f>
        <v>34</v>
      </c>
    </row>
    <row r="106" spans="1:22" x14ac:dyDescent="0.3">
      <c r="A106" t="s">
        <v>206</v>
      </c>
      <c r="B106" s="5">
        <v>46264</v>
      </c>
      <c r="C106" t="s">
        <v>29</v>
      </c>
      <c r="D106" t="str">
        <f>_xlfn.XLOOKUP(tblStudyData[[#This Row],[Student_ID]],tblStudents[Student_ID],tblStudents[Student_Name],"")</f>
        <v>Sneha</v>
      </c>
      <c r="E106" t="str">
        <f>_xlfn.XLOOKUP(tblStudyData[[#This Row],[Student_ID]],tblStudents[Student_ID],tblStudents[Gender],"")</f>
        <v>Female</v>
      </c>
      <c r="F106">
        <f>_xlfn.XLOOKUP(tblStudyData[[#This Row],[Student_ID]],tblStudents[Student_ID],tblStudents[Grade],"")</f>
        <v>0</v>
      </c>
      <c r="G106" t="str">
        <f>_xlfn.XLOOKUP(tblStudyData[[#This Row],[Student_ID]],tblStudents[Student_ID],tblStudents[Class],"")</f>
        <v>B</v>
      </c>
      <c r="H106" t="s">
        <v>41</v>
      </c>
      <c r="I106" t="s">
        <v>113</v>
      </c>
      <c r="J106" t="s">
        <v>88</v>
      </c>
      <c r="K106">
        <v>1</v>
      </c>
      <c r="L106">
        <v>0.9</v>
      </c>
      <c r="M106" t="s">
        <v>52</v>
      </c>
      <c r="N106" t="s">
        <v>420</v>
      </c>
      <c r="O106">
        <v>69</v>
      </c>
      <c r="P106" t="s">
        <v>409</v>
      </c>
      <c r="Q106" s="20">
        <f>IF(tblStudyData[[#This Row],[Attendence_Status]]="Present",100%,IF(tblStudyData[[#This Row],[Attendence_Status]]="Late",80%,IF(tblStudyData[[#This Row],[Attendence_Status]]="Absent",0%,"")))</f>
        <v>0.8</v>
      </c>
      <c r="R106" t="s">
        <v>56</v>
      </c>
      <c r="S106" t="s">
        <v>60</v>
      </c>
      <c r="T106" t="s">
        <v>62</v>
      </c>
      <c r="U106" t="s">
        <v>413</v>
      </c>
      <c r="V106">
        <f>WEEKNUM(tblStudyData[[#This Row],[Date]],2)</f>
        <v>35</v>
      </c>
    </row>
    <row r="107" spans="1:22" x14ac:dyDescent="0.3">
      <c r="A107" t="s">
        <v>207</v>
      </c>
      <c r="B107" s="5">
        <v>46255</v>
      </c>
      <c r="C107" t="s">
        <v>71</v>
      </c>
      <c r="D107" t="str">
        <f>_xlfn.XLOOKUP(tblStudyData[[#This Row],[Student_ID]],tblStudents[Student_ID],tblStudents[Student_Name],"")</f>
        <v>Sai</v>
      </c>
      <c r="E107" t="str">
        <f>_xlfn.XLOOKUP(tblStudyData[[#This Row],[Student_ID]],tblStudents[Student_ID],tblStudents[Gender],"")</f>
        <v>Male</v>
      </c>
      <c r="F107">
        <f>_xlfn.XLOOKUP(tblStudyData[[#This Row],[Student_ID]],tblStudents[Student_ID],tblStudents[Grade],"")</f>
        <v>9</v>
      </c>
      <c r="G107" t="str">
        <f>_xlfn.XLOOKUP(tblStudyData[[#This Row],[Student_ID]],tblStudents[Student_ID],tblStudents[Class],"")</f>
        <v>B</v>
      </c>
      <c r="H107" t="s">
        <v>41</v>
      </c>
      <c r="I107" t="s">
        <v>113</v>
      </c>
      <c r="J107" t="s">
        <v>88</v>
      </c>
      <c r="K107">
        <v>4</v>
      </c>
      <c r="L107">
        <v>2.9</v>
      </c>
      <c r="M107" t="s">
        <v>52</v>
      </c>
      <c r="N107" t="s">
        <v>420</v>
      </c>
      <c r="O107">
        <v>77</v>
      </c>
      <c r="P107" t="s">
        <v>409</v>
      </c>
      <c r="Q107" s="20">
        <f>IF(tblStudyData[[#This Row],[Attendence_Status]]="Present",100%,IF(tblStudyData[[#This Row],[Attendence_Status]]="Late",80%,IF(tblStudyData[[#This Row],[Attendence_Status]]="Absent",0%,"")))</f>
        <v>0.8</v>
      </c>
      <c r="R107" t="s">
        <v>55</v>
      </c>
      <c r="S107" t="s">
        <v>58</v>
      </c>
      <c r="T107" t="s">
        <v>63</v>
      </c>
      <c r="U107" t="s">
        <v>411</v>
      </c>
      <c r="V107">
        <f>WEEKNUM(tblStudyData[[#This Row],[Date]],2)</f>
        <v>34</v>
      </c>
    </row>
    <row r="108" spans="1:22" x14ac:dyDescent="0.3">
      <c r="A108" t="s">
        <v>208</v>
      </c>
      <c r="B108" s="5">
        <v>46242</v>
      </c>
      <c r="C108" t="s">
        <v>74</v>
      </c>
      <c r="D108" t="str">
        <f>_xlfn.XLOOKUP(tblStudyData[[#This Row],[Student_ID]],tblStudents[Student_ID],tblStudents[Student_Name],"")</f>
        <v>Kavya</v>
      </c>
      <c r="E108" t="str">
        <f>_xlfn.XLOOKUP(tblStudyData[[#This Row],[Student_ID]],tblStudents[Student_ID],tblStudents[Gender],"")</f>
        <v>Female</v>
      </c>
      <c r="F108">
        <f>_xlfn.XLOOKUP(tblStudyData[[#This Row],[Student_ID]],tblStudents[Student_ID],tblStudents[Grade],"")</f>
        <v>11</v>
      </c>
      <c r="G108" t="str">
        <f>_xlfn.XLOOKUP(tblStudyData[[#This Row],[Student_ID]],tblStudents[Student_ID],tblStudents[Class],"")</f>
        <v>A</v>
      </c>
      <c r="H108" t="s">
        <v>41</v>
      </c>
      <c r="I108" t="s">
        <v>113</v>
      </c>
      <c r="J108" t="s">
        <v>88</v>
      </c>
      <c r="K108">
        <v>3</v>
      </c>
      <c r="L108">
        <v>2.9</v>
      </c>
      <c r="M108" t="s">
        <v>52</v>
      </c>
      <c r="N108" t="s">
        <v>420</v>
      </c>
      <c r="O108">
        <v>95</v>
      </c>
      <c r="P108" t="s">
        <v>412</v>
      </c>
      <c r="Q108" s="20">
        <v>0.9</v>
      </c>
      <c r="R108" t="s">
        <v>54</v>
      </c>
      <c r="S108" t="s">
        <v>91</v>
      </c>
      <c r="T108" t="s">
        <v>64</v>
      </c>
      <c r="U108" t="s">
        <v>413</v>
      </c>
      <c r="V108">
        <f>WEEKNUM(tblStudyData[[#This Row],[Date]],2)</f>
        <v>32</v>
      </c>
    </row>
    <row r="109" spans="1:22" x14ac:dyDescent="0.3">
      <c r="A109" t="s">
        <v>209</v>
      </c>
      <c r="B109" s="5">
        <v>46250</v>
      </c>
      <c r="C109" t="s">
        <v>68</v>
      </c>
      <c r="D109" t="str">
        <f>_xlfn.XLOOKUP(tblStudyData[[#This Row],[Student_ID]],tblStudents[Student_ID],tblStudents[Student_Name],"")</f>
        <v>Divya</v>
      </c>
      <c r="E109" t="str">
        <f>_xlfn.XLOOKUP(tblStudyData[[#This Row],[Student_ID]],tblStudents[Student_ID],tblStudents[Gender],"")</f>
        <v>Female</v>
      </c>
      <c r="F109">
        <f>_xlfn.XLOOKUP(tblStudyData[[#This Row],[Student_ID]],tblStudents[Student_ID],tblStudents[Grade],"")</f>
        <v>12</v>
      </c>
      <c r="G109" t="str">
        <f>_xlfn.XLOOKUP(tblStudyData[[#This Row],[Student_ID]],tblStudents[Student_ID],tblStudents[Class],"")</f>
        <v>B</v>
      </c>
      <c r="H109" t="s">
        <v>41</v>
      </c>
      <c r="I109" t="s">
        <v>113</v>
      </c>
      <c r="J109" t="s">
        <v>49</v>
      </c>
      <c r="K109">
        <v>2</v>
      </c>
      <c r="L109">
        <v>1.7</v>
      </c>
      <c r="M109" t="s">
        <v>52</v>
      </c>
      <c r="N109" t="s">
        <v>420</v>
      </c>
      <c r="O109">
        <v>91</v>
      </c>
      <c r="P109" t="s">
        <v>53</v>
      </c>
      <c r="Q109" s="20">
        <f>IF(tblStudyData[[#This Row],[Attendence_Status]]="Present",100%,IF(tblStudyData[[#This Row],[Attendence_Status]]="Late",80%,IF(tblStudyData[[#This Row],[Attendence_Status]]="Absent",0%,"")))</f>
        <v>1</v>
      </c>
      <c r="R109" t="s">
        <v>54</v>
      </c>
      <c r="S109" t="s">
        <v>91</v>
      </c>
      <c r="T109" t="s">
        <v>65</v>
      </c>
      <c r="U109" t="s">
        <v>414</v>
      </c>
      <c r="V109">
        <f>WEEKNUM(tblStudyData[[#This Row],[Date]],2)</f>
        <v>33</v>
      </c>
    </row>
    <row r="110" spans="1:22" x14ac:dyDescent="0.3">
      <c r="A110" t="s">
        <v>210</v>
      </c>
      <c r="B110" s="5">
        <v>46255</v>
      </c>
      <c r="C110" t="s">
        <v>71</v>
      </c>
      <c r="D110" t="str">
        <f>_xlfn.XLOOKUP(tblStudyData[[#This Row],[Student_ID]],tblStudents[Student_ID],tblStudents[Student_Name],"")</f>
        <v>Sai</v>
      </c>
      <c r="E110" t="str">
        <f>_xlfn.XLOOKUP(tblStudyData[[#This Row],[Student_ID]],tblStudents[Student_ID],tblStudents[Gender],"")</f>
        <v>Male</v>
      </c>
      <c r="F110">
        <f>_xlfn.XLOOKUP(tblStudyData[[#This Row],[Student_ID]],tblStudents[Student_ID],tblStudents[Grade],"")</f>
        <v>9</v>
      </c>
      <c r="G110" t="str">
        <f>_xlfn.XLOOKUP(tblStudyData[[#This Row],[Student_ID]],tblStudents[Student_ID],tblStudents[Class],"")</f>
        <v>B</v>
      </c>
      <c r="H110" t="s">
        <v>40</v>
      </c>
      <c r="I110" t="s">
        <v>113</v>
      </c>
      <c r="J110" t="s">
        <v>50</v>
      </c>
      <c r="K110">
        <v>3</v>
      </c>
      <c r="L110">
        <v>2.4</v>
      </c>
      <c r="M110" t="s">
        <v>52</v>
      </c>
      <c r="N110" t="s">
        <v>420</v>
      </c>
      <c r="O110">
        <v>74</v>
      </c>
      <c r="P110" t="s">
        <v>409</v>
      </c>
      <c r="Q110" s="20">
        <f>IF(tblStudyData[[#This Row],[Attendence_Status]]="Present",100%,IF(tblStudyData[[#This Row],[Attendence_Status]]="Late",80%,IF(tblStudyData[[#This Row],[Attendence_Status]]="Absent",0%,"")))</f>
        <v>0.8</v>
      </c>
      <c r="R110" t="s">
        <v>56</v>
      </c>
      <c r="S110" t="s">
        <v>57</v>
      </c>
      <c r="T110" t="s">
        <v>93</v>
      </c>
      <c r="U110" t="s">
        <v>411</v>
      </c>
      <c r="V110">
        <f>WEEKNUM(tblStudyData[[#This Row],[Date]],2)</f>
        <v>34</v>
      </c>
    </row>
    <row r="111" spans="1:22" x14ac:dyDescent="0.3">
      <c r="A111" t="s">
        <v>211</v>
      </c>
      <c r="B111" s="5">
        <v>46244</v>
      </c>
      <c r="C111" t="s">
        <v>29</v>
      </c>
      <c r="D111" t="str">
        <f>_xlfn.XLOOKUP(tblStudyData[[#This Row],[Student_ID]],tblStudents[Student_ID],tblStudents[Student_Name],"")</f>
        <v>Sneha</v>
      </c>
      <c r="E111" t="str">
        <f>_xlfn.XLOOKUP(tblStudyData[[#This Row],[Student_ID]],tblStudents[Student_ID],tblStudents[Gender],"")</f>
        <v>Female</v>
      </c>
      <c r="F111">
        <f>_xlfn.XLOOKUP(tblStudyData[[#This Row],[Student_ID]],tblStudents[Student_ID],tblStudents[Grade],"")</f>
        <v>0</v>
      </c>
      <c r="G111" t="str">
        <f>_xlfn.XLOOKUP(tblStudyData[[#This Row],[Student_ID]],tblStudents[Student_ID],tblStudents[Class],"")</f>
        <v>B</v>
      </c>
      <c r="H111" t="s">
        <v>40</v>
      </c>
      <c r="I111" t="s">
        <v>113</v>
      </c>
      <c r="J111" t="s">
        <v>88</v>
      </c>
      <c r="K111">
        <v>1</v>
      </c>
      <c r="L111">
        <v>0.9</v>
      </c>
      <c r="M111" t="s">
        <v>52</v>
      </c>
      <c r="N111" t="s">
        <v>420</v>
      </c>
      <c r="O111">
        <v>94</v>
      </c>
      <c r="P111" t="s">
        <v>412</v>
      </c>
      <c r="Q111" s="20">
        <v>1</v>
      </c>
      <c r="R111" t="s">
        <v>54</v>
      </c>
      <c r="S111" t="s">
        <v>60</v>
      </c>
      <c r="T111" t="s">
        <v>61</v>
      </c>
      <c r="U111" t="s">
        <v>413</v>
      </c>
      <c r="V111">
        <f>WEEKNUM(tblStudyData[[#This Row],[Date]],2)</f>
        <v>33</v>
      </c>
    </row>
    <row r="112" spans="1:22" x14ac:dyDescent="0.3">
      <c r="A112" t="s">
        <v>212</v>
      </c>
      <c r="B112" s="5">
        <v>46251</v>
      </c>
      <c r="C112" t="s">
        <v>67</v>
      </c>
      <c r="D112" t="str">
        <f>_xlfn.XLOOKUP(tblStudyData[[#This Row],[Student_ID]],tblStudents[Student_ID],tblStudents[Student_Name],"")</f>
        <v>Rohit</v>
      </c>
      <c r="E112" t="str">
        <f>_xlfn.XLOOKUP(tblStudyData[[#This Row],[Student_ID]],tblStudents[Student_ID],tblStudents[Gender],"")</f>
        <v>Male</v>
      </c>
      <c r="F112">
        <f>_xlfn.XLOOKUP(tblStudyData[[#This Row],[Student_ID]],tblStudents[Student_ID],tblStudents[Grade],"")</f>
        <v>9</v>
      </c>
      <c r="G112" t="str">
        <f>_xlfn.XLOOKUP(tblStudyData[[#This Row],[Student_ID]],tblStudents[Student_ID],tblStudents[Class],"")</f>
        <v>A</v>
      </c>
      <c r="H112" t="s">
        <v>40</v>
      </c>
      <c r="I112" t="s">
        <v>113</v>
      </c>
      <c r="J112" t="s">
        <v>50</v>
      </c>
      <c r="K112">
        <v>2</v>
      </c>
      <c r="L112">
        <v>2</v>
      </c>
      <c r="M112" t="s">
        <v>52</v>
      </c>
      <c r="N112" t="s">
        <v>420</v>
      </c>
      <c r="O112">
        <v>91</v>
      </c>
      <c r="P112" t="s">
        <v>53</v>
      </c>
      <c r="Q112" s="20">
        <f>IF(tblStudyData[[#This Row],[Attendence_Status]]="Present",100%,IF(tblStudyData[[#This Row],[Attendence_Status]]="Late",80%,IF(tblStudyData[[#This Row],[Attendence_Status]]="Absent",0%,"")))</f>
        <v>1</v>
      </c>
      <c r="R112" t="s">
        <v>54</v>
      </c>
      <c r="S112" t="s">
        <v>90</v>
      </c>
      <c r="T112" t="s">
        <v>64</v>
      </c>
      <c r="U112" t="s">
        <v>414</v>
      </c>
      <c r="V112">
        <f>WEEKNUM(tblStudyData[[#This Row],[Date]],2)</f>
        <v>34</v>
      </c>
    </row>
    <row r="113" spans="1:22" x14ac:dyDescent="0.3">
      <c r="A113" t="s">
        <v>213</v>
      </c>
      <c r="B113" s="5">
        <v>46252</v>
      </c>
      <c r="C113" t="s">
        <v>28</v>
      </c>
      <c r="D113" t="str">
        <f>_xlfn.XLOOKUP(tblStudyData[[#This Row],[Student_ID]],tblStudents[Student_ID],tblStudents[Student_Name],"")</f>
        <v>Arjun</v>
      </c>
      <c r="E113" t="str">
        <f>_xlfn.XLOOKUP(tblStudyData[[#This Row],[Student_ID]],tblStudents[Student_ID],tblStudents[Gender],"")</f>
        <v>Male</v>
      </c>
      <c r="F113">
        <f>_xlfn.XLOOKUP(tblStudyData[[#This Row],[Student_ID]],tblStudents[Student_ID],tblStudents[Grade],"")</f>
        <v>11</v>
      </c>
      <c r="G113" t="str">
        <f>_xlfn.XLOOKUP(tblStudyData[[#This Row],[Student_ID]],tblStudents[Student_ID],tblStudents[Class],"")</f>
        <v>B</v>
      </c>
      <c r="H113" t="s">
        <v>40</v>
      </c>
      <c r="I113" t="s">
        <v>113</v>
      </c>
      <c r="J113" t="s">
        <v>88</v>
      </c>
      <c r="K113">
        <v>3</v>
      </c>
      <c r="L113">
        <v>2.2999999999999998</v>
      </c>
      <c r="M113" t="s">
        <v>52</v>
      </c>
      <c r="N113" t="s">
        <v>420</v>
      </c>
      <c r="O113">
        <v>78</v>
      </c>
      <c r="P113" t="s">
        <v>412</v>
      </c>
      <c r="Q113" s="20">
        <v>0.78</v>
      </c>
      <c r="R113" t="s">
        <v>56</v>
      </c>
      <c r="S113" t="s">
        <v>57</v>
      </c>
      <c r="T113" t="s">
        <v>64</v>
      </c>
      <c r="U113" t="s">
        <v>413</v>
      </c>
      <c r="V113">
        <f>WEEKNUM(tblStudyData[[#This Row],[Date]],2)</f>
        <v>34</v>
      </c>
    </row>
    <row r="114" spans="1:22" x14ac:dyDescent="0.3">
      <c r="A114" t="s">
        <v>214</v>
      </c>
      <c r="B114" s="5">
        <v>46262</v>
      </c>
      <c r="C114" t="s">
        <v>70</v>
      </c>
      <c r="D114" t="str">
        <f>_xlfn.XLOOKUP(tblStudyData[[#This Row],[Student_ID]],tblStudents[Student_ID],tblStudents[Student_Name],"")</f>
        <v>Neha</v>
      </c>
      <c r="E114" t="str">
        <f>_xlfn.XLOOKUP(tblStudyData[[#This Row],[Student_ID]],tblStudents[Student_ID],tblStudents[Gender],"")</f>
        <v>Female</v>
      </c>
      <c r="F114">
        <f>_xlfn.XLOOKUP(tblStudyData[[#This Row],[Student_ID]],tblStudents[Student_ID],tblStudents[Grade],"")</f>
        <v>11</v>
      </c>
      <c r="G114" t="str">
        <f>_xlfn.XLOOKUP(tblStudyData[[#This Row],[Student_ID]],tblStudents[Student_ID],tblStudents[Class],"")</f>
        <v>B</v>
      </c>
      <c r="H114" t="s">
        <v>40</v>
      </c>
      <c r="I114" t="s">
        <v>113</v>
      </c>
      <c r="J114" t="s">
        <v>50</v>
      </c>
      <c r="K114">
        <v>3</v>
      </c>
      <c r="L114">
        <v>2.9</v>
      </c>
      <c r="M114" t="s">
        <v>52</v>
      </c>
      <c r="N114" t="s">
        <v>420</v>
      </c>
      <c r="O114">
        <v>85</v>
      </c>
      <c r="P114" t="s">
        <v>53</v>
      </c>
      <c r="Q114" s="20">
        <f>IF(tblStudyData[[#This Row],[Attendence_Status]]="Present",100%,IF(tblStudyData[[#This Row],[Attendence_Status]]="Late",80%,IF(tblStudyData[[#This Row],[Attendence_Status]]="Absent",0%,"")))</f>
        <v>1</v>
      </c>
      <c r="R114" t="s">
        <v>54</v>
      </c>
      <c r="S114" t="s">
        <v>90</v>
      </c>
      <c r="T114" t="s">
        <v>62</v>
      </c>
      <c r="U114" t="s">
        <v>410</v>
      </c>
      <c r="V114">
        <f>WEEKNUM(tblStudyData[[#This Row],[Date]],2)</f>
        <v>35</v>
      </c>
    </row>
    <row r="115" spans="1:22" x14ac:dyDescent="0.3">
      <c r="A115" t="s">
        <v>215</v>
      </c>
      <c r="B115" s="5">
        <v>46259</v>
      </c>
      <c r="C115" t="s">
        <v>73</v>
      </c>
      <c r="D115" t="str">
        <f>_xlfn.XLOOKUP(tblStudyData[[#This Row],[Student_ID]],tblStudents[Student_ID],tblStudents[Student_Name],"")</f>
        <v>Naveen</v>
      </c>
      <c r="E115" t="str">
        <f>_xlfn.XLOOKUP(tblStudyData[[#This Row],[Student_ID]],tblStudents[Student_ID],tblStudents[Gender],"")</f>
        <v>Male</v>
      </c>
      <c r="F115">
        <f>_xlfn.XLOOKUP(tblStudyData[[#This Row],[Student_ID]],tblStudents[Student_ID],tblStudents[Grade],"")</f>
        <v>10</v>
      </c>
      <c r="G115" t="str">
        <f>_xlfn.XLOOKUP(tblStudyData[[#This Row],[Student_ID]],tblStudents[Student_ID],tblStudents[Class],"")</f>
        <v>A</v>
      </c>
      <c r="H115" t="s">
        <v>44</v>
      </c>
      <c r="I115" t="s">
        <v>113</v>
      </c>
      <c r="J115" t="s">
        <v>51</v>
      </c>
      <c r="K115">
        <v>1</v>
      </c>
      <c r="L115">
        <v>0.8</v>
      </c>
      <c r="M115" t="s">
        <v>52</v>
      </c>
      <c r="N115" t="s">
        <v>420</v>
      </c>
      <c r="O115">
        <v>92</v>
      </c>
      <c r="P115" t="s">
        <v>412</v>
      </c>
      <c r="Q115" s="20">
        <v>1</v>
      </c>
      <c r="R115" t="s">
        <v>54</v>
      </c>
      <c r="S115" t="s">
        <v>58</v>
      </c>
      <c r="T115" t="s">
        <v>93</v>
      </c>
      <c r="U115" t="s">
        <v>413</v>
      </c>
      <c r="V115">
        <f>WEEKNUM(tblStudyData[[#This Row],[Date]],2)</f>
        <v>35</v>
      </c>
    </row>
    <row r="116" spans="1:22" x14ac:dyDescent="0.3">
      <c r="A116" t="s">
        <v>216</v>
      </c>
      <c r="B116" s="5">
        <v>46263</v>
      </c>
      <c r="C116" t="s">
        <v>71</v>
      </c>
      <c r="D116" t="str">
        <f>_xlfn.XLOOKUP(tblStudyData[[#This Row],[Student_ID]],tblStudents[Student_ID],tblStudents[Student_Name],"")</f>
        <v>Sai</v>
      </c>
      <c r="E116" t="str">
        <f>_xlfn.XLOOKUP(tblStudyData[[#This Row],[Student_ID]],tblStudents[Student_ID],tblStudents[Gender],"")</f>
        <v>Male</v>
      </c>
      <c r="F116">
        <f>_xlfn.XLOOKUP(tblStudyData[[#This Row],[Student_ID]],tblStudents[Student_ID],tblStudents[Grade],"")</f>
        <v>9</v>
      </c>
      <c r="G116" t="str">
        <f>_xlfn.XLOOKUP(tblStudyData[[#This Row],[Student_ID]],tblStudents[Student_ID],tblStudents[Class],"")</f>
        <v>B</v>
      </c>
      <c r="H116" t="s">
        <v>43</v>
      </c>
      <c r="I116" t="s">
        <v>113</v>
      </c>
      <c r="J116" t="s">
        <v>88</v>
      </c>
      <c r="K116">
        <v>1</v>
      </c>
      <c r="L116">
        <v>0.7</v>
      </c>
      <c r="M116" t="s">
        <v>52</v>
      </c>
      <c r="N116" t="s">
        <v>420</v>
      </c>
      <c r="O116">
        <v>86</v>
      </c>
      <c r="P116" t="s">
        <v>412</v>
      </c>
      <c r="Q116" s="20">
        <v>0.89</v>
      </c>
      <c r="R116" t="s">
        <v>54</v>
      </c>
      <c r="S116" t="s">
        <v>58</v>
      </c>
      <c r="T116" t="s">
        <v>64</v>
      </c>
      <c r="U116" t="s">
        <v>413</v>
      </c>
      <c r="V116">
        <f>WEEKNUM(tblStudyData[[#This Row],[Date]],2)</f>
        <v>35</v>
      </c>
    </row>
    <row r="117" spans="1:22" x14ac:dyDescent="0.3">
      <c r="A117" t="s">
        <v>217</v>
      </c>
      <c r="B117" s="5">
        <v>46259</v>
      </c>
      <c r="C117" t="s">
        <v>66</v>
      </c>
      <c r="D117" t="str">
        <f>_xlfn.XLOOKUP(tblStudyData[[#This Row],[Student_ID]],tblStudents[Student_ID],tblStudents[Student_Name],"")</f>
        <v>Anjali</v>
      </c>
      <c r="E117" t="str">
        <f>_xlfn.XLOOKUP(tblStudyData[[#This Row],[Student_ID]],tblStudents[Student_ID],tblStudents[Gender],"")</f>
        <v>Female</v>
      </c>
      <c r="F117">
        <f>_xlfn.XLOOKUP(tblStudyData[[#This Row],[Student_ID]],tblStudents[Student_ID],tblStudents[Grade],"")</f>
        <v>11</v>
      </c>
      <c r="G117" t="str">
        <f>_xlfn.XLOOKUP(tblStudyData[[#This Row],[Student_ID]],tblStudents[Student_ID],tblStudents[Class],"")</f>
        <v>A</v>
      </c>
      <c r="H117" t="s">
        <v>43</v>
      </c>
      <c r="I117" t="s">
        <v>113</v>
      </c>
      <c r="J117" t="s">
        <v>51</v>
      </c>
      <c r="K117">
        <v>1</v>
      </c>
      <c r="L117">
        <v>0.8</v>
      </c>
      <c r="M117" t="s">
        <v>52</v>
      </c>
      <c r="N117" t="s">
        <v>420</v>
      </c>
      <c r="O117">
        <v>84</v>
      </c>
      <c r="P117" t="s">
        <v>412</v>
      </c>
      <c r="Q117" s="20">
        <v>0.78</v>
      </c>
      <c r="R117" t="s">
        <v>55</v>
      </c>
      <c r="S117" t="s">
        <v>60</v>
      </c>
      <c r="T117" t="s">
        <v>93</v>
      </c>
      <c r="U117" t="s">
        <v>413</v>
      </c>
      <c r="V117">
        <f>WEEKNUM(tblStudyData[[#This Row],[Date]],2)</f>
        <v>35</v>
      </c>
    </row>
    <row r="118" spans="1:22" x14ac:dyDescent="0.3">
      <c r="A118" t="s">
        <v>218</v>
      </c>
      <c r="B118" s="5">
        <v>46256</v>
      </c>
      <c r="C118" t="s">
        <v>66</v>
      </c>
      <c r="D118" t="str">
        <f>_xlfn.XLOOKUP(tblStudyData[[#This Row],[Student_ID]],tblStudents[Student_ID],tblStudents[Student_Name],"")</f>
        <v>Anjali</v>
      </c>
      <c r="E118" t="str">
        <f>_xlfn.XLOOKUP(tblStudyData[[#This Row],[Student_ID]],tblStudents[Student_ID],tblStudents[Gender],"")</f>
        <v>Female</v>
      </c>
      <c r="F118">
        <f>_xlfn.XLOOKUP(tblStudyData[[#This Row],[Student_ID]],tblStudents[Student_ID],tblStudents[Grade],"")</f>
        <v>11</v>
      </c>
      <c r="G118" t="str">
        <f>_xlfn.XLOOKUP(tblStudyData[[#This Row],[Student_ID]],tblStudents[Student_ID],tblStudents[Class],"")</f>
        <v>A</v>
      </c>
      <c r="H118" t="s">
        <v>43</v>
      </c>
      <c r="I118" t="s">
        <v>113</v>
      </c>
      <c r="J118" t="s">
        <v>51</v>
      </c>
      <c r="K118">
        <v>3</v>
      </c>
      <c r="L118">
        <v>2.8</v>
      </c>
      <c r="M118" t="s">
        <v>52</v>
      </c>
      <c r="N118" t="s">
        <v>420</v>
      </c>
      <c r="O118">
        <v>71</v>
      </c>
      <c r="P118" t="s">
        <v>53</v>
      </c>
      <c r="Q118" s="20">
        <f>IF(tblStudyData[[#This Row],[Attendence_Status]]="Present",100%,IF(tblStudyData[[#This Row],[Attendence_Status]]="Late",80%,IF(tblStudyData[[#This Row],[Attendence_Status]]="Absent",0%,"")))</f>
        <v>1</v>
      </c>
      <c r="R118" t="s">
        <v>54</v>
      </c>
      <c r="S118" t="s">
        <v>60</v>
      </c>
      <c r="T118" t="s">
        <v>62</v>
      </c>
      <c r="U118" t="s">
        <v>411</v>
      </c>
      <c r="V118">
        <f>WEEKNUM(tblStudyData[[#This Row],[Date]],2)</f>
        <v>34</v>
      </c>
    </row>
    <row r="119" spans="1:22" x14ac:dyDescent="0.3">
      <c r="A119" t="s">
        <v>219</v>
      </c>
      <c r="B119" s="5">
        <v>46262</v>
      </c>
      <c r="C119" t="s">
        <v>74</v>
      </c>
      <c r="D119" t="str">
        <f>_xlfn.XLOOKUP(tblStudyData[[#This Row],[Student_ID]],tblStudents[Student_ID],tblStudents[Student_Name],"")</f>
        <v>Kavya</v>
      </c>
      <c r="E119" t="str">
        <f>_xlfn.XLOOKUP(tblStudyData[[#This Row],[Student_ID]],tblStudents[Student_ID],tblStudents[Gender],"")</f>
        <v>Female</v>
      </c>
      <c r="F119">
        <f>_xlfn.XLOOKUP(tblStudyData[[#This Row],[Student_ID]],tblStudents[Student_ID],tblStudents[Grade],"")</f>
        <v>11</v>
      </c>
      <c r="G119" t="str">
        <f>_xlfn.XLOOKUP(tblStudyData[[#This Row],[Student_ID]],tblStudents[Student_ID],tblStudents[Class],"")</f>
        <v>A</v>
      </c>
      <c r="H119" t="s">
        <v>44</v>
      </c>
      <c r="I119" t="s">
        <v>113</v>
      </c>
      <c r="J119" t="s">
        <v>49</v>
      </c>
      <c r="K119">
        <v>3</v>
      </c>
      <c r="L119">
        <v>2.1</v>
      </c>
      <c r="M119" t="s">
        <v>52</v>
      </c>
      <c r="N119" t="s">
        <v>420</v>
      </c>
      <c r="O119">
        <v>81</v>
      </c>
      <c r="P119" t="s">
        <v>412</v>
      </c>
      <c r="Q119" s="20">
        <v>0.85</v>
      </c>
      <c r="R119" t="s">
        <v>55</v>
      </c>
      <c r="S119" t="s">
        <v>90</v>
      </c>
      <c r="T119" t="s">
        <v>61</v>
      </c>
      <c r="U119" t="s">
        <v>413</v>
      </c>
      <c r="V119">
        <f>WEEKNUM(tblStudyData[[#This Row],[Date]],2)</f>
        <v>35</v>
      </c>
    </row>
    <row r="120" spans="1:22" x14ac:dyDescent="0.3">
      <c r="A120" t="s">
        <v>220</v>
      </c>
      <c r="B120" s="5">
        <v>46241</v>
      </c>
      <c r="C120" t="s">
        <v>72</v>
      </c>
      <c r="D120" t="str">
        <f>_xlfn.XLOOKUP(tblStudyData[[#This Row],[Student_ID]],tblStudents[Student_ID],tblStudents[Student_Name],"")</f>
        <v>Pooja</v>
      </c>
      <c r="E120" t="str">
        <f>_xlfn.XLOOKUP(tblStudyData[[#This Row],[Student_ID]],tblStudents[Student_ID],tblStudents[Gender],"")</f>
        <v>Female</v>
      </c>
      <c r="F120">
        <f>_xlfn.XLOOKUP(tblStudyData[[#This Row],[Student_ID]],tblStudents[Student_ID],tblStudents[Grade],"")</f>
        <v>12</v>
      </c>
      <c r="G120" t="str">
        <f>_xlfn.XLOOKUP(tblStudyData[[#This Row],[Student_ID]],tblStudents[Student_ID],tblStudents[Class],"")</f>
        <v>A</v>
      </c>
      <c r="H120" t="s">
        <v>44</v>
      </c>
      <c r="I120" t="s">
        <v>113</v>
      </c>
      <c r="J120" t="s">
        <v>49</v>
      </c>
      <c r="K120">
        <v>4</v>
      </c>
      <c r="L120">
        <v>3.4</v>
      </c>
      <c r="M120" t="s">
        <v>52</v>
      </c>
      <c r="N120" t="s">
        <v>420</v>
      </c>
      <c r="O120">
        <v>76</v>
      </c>
      <c r="P120" t="s">
        <v>53</v>
      </c>
      <c r="Q120" s="20">
        <f>IF(tblStudyData[[#This Row],[Attendence_Status]]="Present",100%,IF(tblStudyData[[#This Row],[Attendence_Status]]="Late",80%,IF(tblStudyData[[#This Row],[Attendence_Status]]="Absent",0%,"")))</f>
        <v>1</v>
      </c>
      <c r="R120" t="s">
        <v>54</v>
      </c>
      <c r="S120" t="s">
        <v>59</v>
      </c>
      <c r="T120" t="s">
        <v>93</v>
      </c>
      <c r="U120" t="s">
        <v>411</v>
      </c>
      <c r="V120">
        <f>WEEKNUM(tblStudyData[[#This Row],[Date]],2)</f>
        <v>32</v>
      </c>
    </row>
    <row r="121" spans="1:22" x14ac:dyDescent="0.3">
      <c r="A121" t="s">
        <v>221</v>
      </c>
      <c r="B121" s="5">
        <v>46262</v>
      </c>
      <c r="C121" t="s">
        <v>27</v>
      </c>
      <c r="D121" t="str">
        <f>_xlfn.XLOOKUP(tblStudyData[[#This Row],[Student_ID]],tblStudents[Student_ID],tblStudents[Student_Name],"")</f>
        <v>Priya</v>
      </c>
      <c r="E121" t="str">
        <f>_xlfn.XLOOKUP(tblStudyData[[#This Row],[Student_ID]],tblStudents[Student_ID],tblStudents[Gender],"")</f>
        <v>Female</v>
      </c>
      <c r="F121">
        <f>_xlfn.XLOOKUP(tblStudyData[[#This Row],[Student_ID]],tblStudents[Student_ID],tblStudents[Grade],"")</f>
        <v>10</v>
      </c>
      <c r="G121" t="str">
        <f>_xlfn.XLOOKUP(tblStudyData[[#This Row],[Student_ID]],tblStudents[Student_ID],tblStudents[Class],"")</f>
        <v>A</v>
      </c>
      <c r="H121" t="s">
        <v>44</v>
      </c>
      <c r="I121" t="s">
        <v>113</v>
      </c>
      <c r="J121" t="s">
        <v>51</v>
      </c>
      <c r="K121">
        <v>4</v>
      </c>
      <c r="L121">
        <v>3.2</v>
      </c>
      <c r="M121" t="s">
        <v>52</v>
      </c>
      <c r="N121" t="s">
        <v>420</v>
      </c>
      <c r="O121">
        <v>79</v>
      </c>
      <c r="P121" t="s">
        <v>412</v>
      </c>
      <c r="Q121" s="20">
        <v>0.88</v>
      </c>
      <c r="R121" t="s">
        <v>56</v>
      </c>
      <c r="S121" t="s">
        <v>91</v>
      </c>
      <c r="T121" t="s">
        <v>93</v>
      </c>
      <c r="U121" t="s">
        <v>413</v>
      </c>
      <c r="V121">
        <f>WEEKNUM(tblStudyData[[#This Row],[Date]],2)</f>
        <v>35</v>
      </c>
    </row>
    <row r="122" spans="1:22" x14ac:dyDescent="0.3">
      <c r="A122" t="s">
        <v>222</v>
      </c>
      <c r="B122" s="5">
        <v>46259</v>
      </c>
      <c r="C122" t="s">
        <v>71</v>
      </c>
      <c r="D122" t="str">
        <f>_xlfn.XLOOKUP(tblStudyData[[#This Row],[Student_ID]],tblStudents[Student_ID],tblStudents[Student_Name],"")</f>
        <v>Sai</v>
      </c>
      <c r="E122" t="str">
        <f>_xlfn.XLOOKUP(tblStudyData[[#This Row],[Student_ID]],tblStudents[Student_ID],tblStudents[Gender],"")</f>
        <v>Male</v>
      </c>
      <c r="F122">
        <f>_xlfn.XLOOKUP(tblStudyData[[#This Row],[Student_ID]],tblStudents[Student_ID],tblStudents[Grade],"")</f>
        <v>9</v>
      </c>
      <c r="G122" t="str">
        <f>_xlfn.XLOOKUP(tblStudyData[[#This Row],[Student_ID]],tblStudents[Student_ID],tblStudents[Class],"")</f>
        <v>B</v>
      </c>
      <c r="H122" t="s">
        <v>44</v>
      </c>
      <c r="I122" t="s">
        <v>113</v>
      </c>
      <c r="J122" t="s">
        <v>51</v>
      </c>
      <c r="K122">
        <v>1</v>
      </c>
      <c r="L122">
        <v>0.8</v>
      </c>
      <c r="M122" t="s">
        <v>52</v>
      </c>
      <c r="N122" t="s">
        <v>420</v>
      </c>
      <c r="O122">
        <v>74</v>
      </c>
      <c r="P122" t="s">
        <v>53</v>
      </c>
      <c r="Q122" s="20">
        <f>IF(tblStudyData[[#This Row],[Attendence_Status]]="Present",100%,IF(tblStudyData[[#This Row],[Attendence_Status]]="Late",80%,IF(tblStudyData[[#This Row],[Attendence_Status]]="Absent",0%,"")))</f>
        <v>1</v>
      </c>
      <c r="R122" t="s">
        <v>56</v>
      </c>
      <c r="S122" t="s">
        <v>59</v>
      </c>
      <c r="T122" t="s">
        <v>64</v>
      </c>
      <c r="U122" t="s">
        <v>411</v>
      </c>
      <c r="V122">
        <f>WEEKNUM(tblStudyData[[#This Row],[Date]],2)</f>
        <v>35</v>
      </c>
    </row>
    <row r="123" spans="1:22" x14ac:dyDescent="0.3">
      <c r="A123" t="s">
        <v>223</v>
      </c>
      <c r="B123" s="5">
        <v>46240</v>
      </c>
      <c r="C123" t="s">
        <v>75</v>
      </c>
      <c r="D123" t="str">
        <f>_xlfn.XLOOKUP(tblStudyData[[#This Row],[Student_ID]],tblStudents[Student_ID],tblStudents[Student_Name],"")</f>
        <v>Akhil</v>
      </c>
      <c r="E123" t="str">
        <f>_xlfn.XLOOKUP(tblStudyData[[#This Row],[Student_ID]],tblStudents[Student_ID],tblStudents[Gender],"")</f>
        <v>Male</v>
      </c>
      <c r="F123">
        <f>_xlfn.XLOOKUP(tblStudyData[[#This Row],[Student_ID]],tblStudents[Student_ID],tblStudents[Grade],"")</f>
        <v>9</v>
      </c>
      <c r="G123" t="str">
        <f>_xlfn.XLOOKUP(tblStudyData[[#This Row],[Student_ID]],tblStudents[Student_ID],tblStudents[Class],"")</f>
        <v>A</v>
      </c>
      <c r="H123" t="s">
        <v>44</v>
      </c>
      <c r="I123" t="s">
        <v>113</v>
      </c>
      <c r="J123" t="s">
        <v>50</v>
      </c>
      <c r="K123">
        <v>3</v>
      </c>
      <c r="L123">
        <v>2.2999999999999998</v>
      </c>
      <c r="M123" t="s">
        <v>52</v>
      </c>
      <c r="N123" t="s">
        <v>420</v>
      </c>
      <c r="O123">
        <v>71</v>
      </c>
      <c r="P123" t="s">
        <v>409</v>
      </c>
      <c r="Q123" s="20">
        <f>IF(tblStudyData[[#This Row],[Attendence_Status]]="Present",100%,IF(tblStudyData[[#This Row],[Attendence_Status]]="Late",80%,IF(tblStudyData[[#This Row],[Attendence_Status]]="Absent",0%,"")))</f>
        <v>0.8</v>
      </c>
      <c r="R123" t="s">
        <v>56</v>
      </c>
      <c r="S123" t="s">
        <v>59</v>
      </c>
      <c r="T123" t="s">
        <v>61</v>
      </c>
      <c r="U123" t="s">
        <v>411</v>
      </c>
      <c r="V123">
        <f>WEEKNUM(tblStudyData[[#This Row],[Date]],2)</f>
        <v>32</v>
      </c>
    </row>
    <row r="124" spans="1:22" x14ac:dyDescent="0.3">
      <c r="A124" t="s">
        <v>224</v>
      </c>
      <c r="B124" s="5">
        <v>46243</v>
      </c>
      <c r="C124" t="s">
        <v>74</v>
      </c>
      <c r="D124" t="str">
        <f>_xlfn.XLOOKUP(tblStudyData[[#This Row],[Student_ID]],tblStudents[Student_ID],tblStudents[Student_Name],"")</f>
        <v>Kavya</v>
      </c>
      <c r="E124" t="str">
        <f>_xlfn.XLOOKUP(tblStudyData[[#This Row],[Student_ID]],tblStudents[Student_ID],tblStudents[Gender],"")</f>
        <v>Female</v>
      </c>
      <c r="F124">
        <f>_xlfn.XLOOKUP(tblStudyData[[#This Row],[Student_ID]],tblStudents[Student_ID],tblStudents[Grade],"")</f>
        <v>11</v>
      </c>
      <c r="G124" t="str">
        <f>_xlfn.XLOOKUP(tblStudyData[[#This Row],[Student_ID]],tblStudents[Student_ID],tblStudents[Class],"")</f>
        <v>A</v>
      </c>
      <c r="H124" t="s">
        <v>86</v>
      </c>
      <c r="I124" t="s">
        <v>113</v>
      </c>
      <c r="J124" t="s">
        <v>50</v>
      </c>
      <c r="K124">
        <v>4</v>
      </c>
      <c r="L124">
        <v>2.7</v>
      </c>
      <c r="M124" t="s">
        <v>52</v>
      </c>
      <c r="N124" t="s">
        <v>420</v>
      </c>
      <c r="O124">
        <v>72</v>
      </c>
      <c r="P124" t="s">
        <v>409</v>
      </c>
      <c r="Q124" s="20">
        <f>IF(tblStudyData[[#This Row],[Attendence_Status]]="Present",100%,IF(tblStudyData[[#This Row],[Attendence_Status]]="Late",80%,IF(tblStudyData[[#This Row],[Attendence_Status]]="Absent",0%,"")))</f>
        <v>0.8</v>
      </c>
      <c r="R124" t="s">
        <v>54</v>
      </c>
      <c r="S124" t="s">
        <v>59</v>
      </c>
      <c r="T124" t="s">
        <v>63</v>
      </c>
      <c r="U124" t="s">
        <v>411</v>
      </c>
      <c r="V124">
        <f>WEEKNUM(tblStudyData[[#This Row],[Date]],2)</f>
        <v>32</v>
      </c>
    </row>
    <row r="125" spans="1:22" x14ac:dyDescent="0.3">
      <c r="A125" t="s">
        <v>225</v>
      </c>
      <c r="B125" s="5">
        <v>46263</v>
      </c>
      <c r="C125" t="s">
        <v>69</v>
      </c>
      <c r="D125" t="str">
        <f>_xlfn.XLOOKUP(tblStudyData[[#This Row],[Student_ID]],tblStudents[Student_ID],tblStudents[Student_Name],"")</f>
        <v>Vikaram</v>
      </c>
      <c r="E125" t="str">
        <f>_xlfn.XLOOKUP(tblStudyData[[#This Row],[Student_ID]],tblStudents[Student_ID],tblStudents[Gender],"")</f>
        <v>Male</v>
      </c>
      <c r="F125">
        <f>_xlfn.XLOOKUP(tblStudyData[[#This Row],[Student_ID]],tblStudents[Student_ID],tblStudents[Grade],"")</f>
        <v>10</v>
      </c>
      <c r="G125" t="str">
        <f>_xlfn.XLOOKUP(tblStudyData[[#This Row],[Student_ID]],tblStudents[Student_ID],tblStudents[Class],"")</f>
        <v>B</v>
      </c>
      <c r="H125" t="s">
        <v>44</v>
      </c>
      <c r="I125" t="s">
        <v>113</v>
      </c>
      <c r="J125" t="s">
        <v>88</v>
      </c>
      <c r="K125">
        <v>2</v>
      </c>
      <c r="L125">
        <v>1.5</v>
      </c>
      <c r="M125" t="s">
        <v>52</v>
      </c>
      <c r="N125" t="s">
        <v>420</v>
      </c>
      <c r="O125">
        <v>83</v>
      </c>
      <c r="P125" t="s">
        <v>53</v>
      </c>
      <c r="Q125" s="20">
        <f>IF(tblStudyData[[#This Row],[Attendence_Status]]="Present",100%,IF(tblStudyData[[#This Row],[Attendence_Status]]="Late",80%,IF(tblStudyData[[#This Row],[Attendence_Status]]="Absent",0%,"")))</f>
        <v>1</v>
      </c>
      <c r="R125" t="s">
        <v>56</v>
      </c>
      <c r="S125" t="s">
        <v>59</v>
      </c>
      <c r="T125" t="s">
        <v>65</v>
      </c>
      <c r="U125" t="s">
        <v>410</v>
      </c>
      <c r="V125">
        <f>WEEKNUM(tblStudyData[[#This Row],[Date]],2)</f>
        <v>35</v>
      </c>
    </row>
    <row r="126" spans="1:22" x14ac:dyDescent="0.3">
      <c r="A126" t="s">
        <v>226</v>
      </c>
      <c r="B126" s="5">
        <v>46252</v>
      </c>
      <c r="C126" t="s">
        <v>70</v>
      </c>
      <c r="D126" t="str">
        <f>_xlfn.XLOOKUP(tblStudyData[[#This Row],[Student_ID]],tblStudents[Student_ID],tblStudents[Student_Name],"")</f>
        <v>Neha</v>
      </c>
      <c r="E126" t="str">
        <f>_xlfn.XLOOKUP(tblStudyData[[#This Row],[Student_ID]],tblStudents[Student_ID],tblStudents[Gender],"")</f>
        <v>Female</v>
      </c>
      <c r="F126">
        <f>_xlfn.XLOOKUP(tblStudyData[[#This Row],[Student_ID]],tblStudents[Student_ID],tblStudents[Grade],"")</f>
        <v>11</v>
      </c>
      <c r="G126" t="str">
        <f>_xlfn.XLOOKUP(tblStudyData[[#This Row],[Student_ID]],tblStudents[Student_ID],tblStudents[Class],"")</f>
        <v>B</v>
      </c>
      <c r="H126" t="s">
        <v>44</v>
      </c>
      <c r="I126" t="s">
        <v>113</v>
      </c>
      <c r="J126" t="s">
        <v>49</v>
      </c>
      <c r="K126">
        <v>1</v>
      </c>
      <c r="L126">
        <v>0.9</v>
      </c>
      <c r="M126" t="s">
        <v>52</v>
      </c>
      <c r="N126" t="s">
        <v>420</v>
      </c>
      <c r="O126">
        <v>77</v>
      </c>
      <c r="P126" t="s">
        <v>409</v>
      </c>
      <c r="Q126" s="20">
        <f>IF(tblStudyData[[#This Row],[Attendence_Status]]="Present",100%,IF(tblStudyData[[#This Row],[Attendence_Status]]="Late",80%,IF(tblStudyData[[#This Row],[Attendence_Status]]="Absent",0%,"")))</f>
        <v>0.8</v>
      </c>
      <c r="R126" t="s">
        <v>55</v>
      </c>
      <c r="S126" t="s">
        <v>57</v>
      </c>
      <c r="T126" t="s">
        <v>65</v>
      </c>
      <c r="U126" t="s">
        <v>411</v>
      </c>
      <c r="V126">
        <f>WEEKNUM(tblStudyData[[#This Row],[Date]],2)</f>
        <v>34</v>
      </c>
    </row>
    <row r="127" spans="1:22" x14ac:dyDescent="0.3">
      <c r="A127" t="s">
        <v>227</v>
      </c>
      <c r="B127" s="5">
        <v>46254</v>
      </c>
      <c r="C127" t="s">
        <v>70</v>
      </c>
      <c r="D127" t="str">
        <f>_xlfn.XLOOKUP(tblStudyData[[#This Row],[Student_ID]],tblStudents[Student_ID],tblStudents[Student_Name],"")</f>
        <v>Neha</v>
      </c>
      <c r="E127" t="str">
        <f>_xlfn.XLOOKUP(tblStudyData[[#This Row],[Student_ID]],tblStudents[Student_ID],tblStudents[Gender],"")</f>
        <v>Female</v>
      </c>
      <c r="F127">
        <f>_xlfn.XLOOKUP(tblStudyData[[#This Row],[Student_ID]],tblStudents[Student_ID],tblStudents[Grade],"")</f>
        <v>11</v>
      </c>
      <c r="G127" t="str">
        <f>_xlfn.XLOOKUP(tblStudyData[[#This Row],[Student_ID]],tblStudents[Student_ID],tblStudents[Class],"")</f>
        <v>B</v>
      </c>
      <c r="H127" t="s">
        <v>44</v>
      </c>
      <c r="I127" t="s">
        <v>113</v>
      </c>
      <c r="J127" t="s">
        <v>88</v>
      </c>
      <c r="K127">
        <v>4</v>
      </c>
      <c r="L127">
        <v>2.8</v>
      </c>
      <c r="M127" t="s">
        <v>52</v>
      </c>
      <c r="N127" t="s">
        <v>420</v>
      </c>
      <c r="O127">
        <v>91</v>
      </c>
      <c r="P127" t="s">
        <v>53</v>
      </c>
      <c r="Q127" s="20">
        <f>IF(tblStudyData[[#This Row],[Attendence_Status]]="Present",100%,IF(tblStudyData[[#This Row],[Attendence_Status]]="Late",80%,IF(tblStudyData[[#This Row],[Attendence_Status]]="Absent",0%,"")))</f>
        <v>1</v>
      </c>
      <c r="R127" t="s">
        <v>54</v>
      </c>
      <c r="S127" t="s">
        <v>58</v>
      </c>
      <c r="T127" t="s">
        <v>64</v>
      </c>
      <c r="U127" t="s">
        <v>414</v>
      </c>
      <c r="V127">
        <f>WEEKNUM(tblStudyData[[#This Row],[Date]],2)</f>
        <v>34</v>
      </c>
    </row>
    <row r="128" spans="1:22" x14ac:dyDescent="0.3">
      <c r="A128" t="s">
        <v>228</v>
      </c>
      <c r="B128" s="5">
        <v>46237</v>
      </c>
      <c r="C128" t="s">
        <v>66</v>
      </c>
      <c r="D128" t="str">
        <f>_xlfn.XLOOKUP(tblStudyData[[#This Row],[Student_ID]],tblStudents[Student_ID],tblStudents[Student_Name],"")</f>
        <v>Anjali</v>
      </c>
      <c r="E128" t="str">
        <f>_xlfn.XLOOKUP(tblStudyData[[#This Row],[Student_ID]],tblStudents[Student_ID],tblStudents[Gender],"")</f>
        <v>Female</v>
      </c>
      <c r="F128">
        <f>_xlfn.XLOOKUP(tblStudyData[[#This Row],[Student_ID]],tblStudents[Student_ID],tblStudents[Grade],"")</f>
        <v>11</v>
      </c>
      <c r="G128" t="str">
        <f>_xlfn.XLOOKUP(tblStudyData[[#This Row],[Student_ID]],tblStudents[Student_ID],tblStudents[Class],"")</f>
        <v>A</v>
      </c>
      <c r="H128" t="s">
        <v>44</v>
      </c>
      <c r="I128" t="s">
        <v>113</v>
      </c>
      <c r="J128" t="s">
        <v>49</v>
      </c>
      <c r="K128">
        <v>1</v>
      </c>
      <c r="L128">
        <v>0.7</v>
      </c>
      <c r="M128" t="s">
        <v>52</v>
      </c>
      <c r="N128" t="s">
        <v>420</v>
      </c>
      <c r="O128">
        <v>89</v>
      </c>
      <c r="P128" t="s">
        <v>412</v>
      </c>
      <c r="Q128" s="20">
        <v>0.79</v>
      </c>
      <c r="R128" t="s">
        <v>54</v>
      </c>
      <c r="S128" t="s">
        <v>57</v>
      </c>
      <c r="T128" t="s">
        <v>65</v>
      </c>
      <c r="U128" t="s">
        <v>413</v>
      </c>
      <c r="V128">
        <f>WEEKNUM(tblStudyData[[#This Row],[Date]],2)</f>
        <v>32</v>
      </c>
    </row>
    <row r="129" spans="1:22" x14ac:dyDescent="0.3">
      <c r="A129" t="s">
        <v>229</v>
      </c>
      <c r="B129" s="5">
        <v>46260</v>
      </c>
      <c r="C129" t="s">
        <v>28</v>
      </c>
      <c r="D129" t="str">
        <f>_xlfn.XLOOKUP(tblStudyData[[#This Row],[Student_ID]],tblStudents[Student_ID],tblStudents[Student_Name],"")</f>
        <v>Arjun</v>
      </c>
      <c r="E129" t="str">
        <f>_xlfn.XLOOKUP(tblStudyData[[#This Row],[Student_ID]],tblStudents[Student_ID],tblStudents[Gender],"")</f>
        <v>Male</v>
      </c>
      <c r="F129">
        <f>_xlfn.XLOOKUP(tblStudyData[[#This Row],[Student_ID]],tblStudents[Student_ID],tblStudents[Grade],"")</f>
        <v>11</v>
      </c>
      <c r="G129" t="str">
        <f>_xlfn.XLOOKUP(tblStudyData[[#This Row],[Student_ID]],tblStudents[Student_ID],tblStudents[Class],"")</f>
        <v>B</v>
      </c>
      <c r="H129" t="s">
        <v>44</v>
      </c>
      <c r="I129" t="s">
        <v>113</v>
      </c>
      <c r="J129" t="s">
        <v>88</v>
      </c>
      <c r="K129">
        <v>3</v>
      </c>
      <c r="L129">
        <v>2.2000000000000002</v>
      </c>
      <c r="M129" t="s">
        <v>52</v>
      </c>
      <c r="N129" t="s">
        <v>420</v>
      </c>
      <c r="O129">
        <v>55</v>
      </c>
      <c r="P129" t="s">
        <v>53</v>
      </c>
      <c r="Q129" s="20">
        <v>1</v>
      </c>
      <c r="R129" t="s">
        <v>55</v>
      </c>
      <c r="S129" t="s">
        <v>58</v>
      </c>
      <c r="T129" t="s">
        <v>63</v>
      </c>
      <c r="U129" t="s">
        <v>413</v>
      </c>
      <c r="V129">
        <f>WEEKNUM(tblStudyData[[#This Row],[Date]],2)</f>
        <v>35</v>
      </c>
    </row>
    <row r="130" spans="1:22" x14ac:dyDescent="0.3">
      <c r="A130" t="s">
        <v>230</v>
      </c>
      <c r="B130" s="5">
        <v>46242</v>
      </c>
      <c r="C130" t="s">
        <v>29</v>
      </c>
      <c r="D130" t="str">
        <f>_xlfn.XLOOKUP(tblStudyData[[#This Row],[Student_ID]],tblStudents[Student_ID],tblStudents[Student_Name],"")</f>
        <v>Sneha</v>
      </c>
      <c r="E130" t="str">
        <f>_xlfn.XLOOKUP(tblStudyData[[#This Row],[Student_ID]],tblStudents[Student_ID],tblStudents[Gender],"")</f>
        <v>Female</v>
      </c>
      <c r="F130">
        <f>_xlfn.XLOOKUP(tblStudyData[[#This Row],[Student_ID]],tblStudents[Student_ID],tblStudents[Grade],"")</f>
        <v>0</v>
      </c>
      <c r="G130" t="str">
        <f>_xlfn.XLOOKUP(tblStudyData[[#This Row],[Student_ID]],tblStudents[Student_ID],tblStudents[Class],"")</f>
        <v>B</v>
      </c>
      <c r="H130" t="s">
        <v>42</v>
      </c>
      <c r="I130" t="s">
        <v>113</v>
      </c>
      <c r="J130" t="s">
        <v>88</v>
      </c>
      <c r="K130">
        <v>1</v>
      </c>
      <c r="L130">
        <v>0.7</v>
      </c>
      <c r="M130" t="s">
        <v>52</v>
      </c>
      <c r="N130" t="s">
        <v>420</v>
      </c>
      <c r="O130">
        <v>71</v>
      </c>
      <c r="P130" t="s">
        <v>409</v>
      </c>
      <c r="Q130" s="20">
        <f>IF(tblStudyData[[#This Row],[Attendence_Status]]="Present",100%,IF(tblStudyData[[#This Row],[Attendence_Status]]="Late",80%,IF(tblStudyData[[#This Row],[Attendence_Status]]="Absent",0%,"")))</f>
        <v>0.8</v>
      </c>
      <c r="R130" t="s">
        <v>55</v>
      </c>
      <c r="S130" t="s">
        <v>90</v>
      </c>
      <c r="T130" t="s">
        <v>63</v>
      </c>
      <c r="U130" t="s">
        <v>411</v>
      </c>
      <c r="V130">
        <f>WEEKNUM(tblStudyData[[#This Row],[Date]],2)</f>
        <v>32</v>
      </c>
    </row>
    <row r="131" spans="1:22" x14ac:dyDescent="0.3">
      <c r="A131" t="s">
        <v>231</v>
      </c>
      <c r="B131" s="5">
        <v>46250</v>
      </c>
      <c r="C131" t="s">
        <v>30</v>
      </c>
      <c r="D131" t="str">
        <f>_xlfn.XLOOKUP(tblStudyData[[#This Row],[Student_ID]],tblStudents[Student_ID],tblStudents[Student_Name],"")</f>
        <v>Kiran</v>
      </c>
      <c r="E131" t="str">
        <f>_xlfn.XLOOKUP(tblStudyData[[#This Row],[Student_ID]],tblStudents[Student_ID],tblStudents[Gender],"")</f>
        <v>Male</v>
      </c>
      <c r="F131">
        <f>_xlfn.XLOOKUP(tblStudyData[[#This Row],[Student_ID]],tblStudents[Student_ID],tblStudents[Grade],"")</f>
        <v>12</v>
      </c>
      <c r="G131" t="str">
        <f>_xlfn.XLOOKUP(tblStudyData[[#This Row],[Student_ID]],tblStudents[Student_ID],tblStudents[Class],"")</f>
        <v>A</v>
      </c>
      <c r="H131" t="s">
        <v>42</v>
      </c>
      <c r="I131" t="s">
        <v>113</v>
      </c>
      <c r="J131" t="s">
        <v>50</v>
      </c>
      <c r="K131">
        <v>4</v>
      </c>
      <c r="L131">
        <v>2.6</v>
      </c>
      <c r="M131" t="s">
        <v>52</v>
      </c>
      <c r="N131" t="s">
        <v>420</v>
      </c>
      <c r="O131">
        <v>75</v>
      </c>
      <c r="P131" t="s">
        <v>409</v>
      </c>
      <c r="Q131" s="20">
        <f>IF(tblStudyData[[#This Row],[Attendence_Status]]="Present",100%,IF(tblStudyData[[#This Row],[Attendence_Status]]="Late",80%,IF(tblStudyData[[#This Row],[Attendence_Status]]="Absent",0%,"")))</f>
        <v>0.8</v>
      </c>
      <c r="R131" t="s">
        <v>56</v>
      </c>
      <c r="S131" t="s">
        <v>60</v>
      </c>
      <c r="T131" t="s">
        <v>63</v>
      </c>
      <c r="U131" t="s">
        <v>411</v>
      </c>
      <c r="V131">
        <f>WEEKNUM(tblStudyData[[#This Row],[Date]],2)</f>
        <v>33</v>
      </c>
    </row>
    <row r="132" spans="1:22" x14ac:dyDescent="0.3">
      <c r="A132" t="s">
        <v>232</v>
      </c>
      <c r="B132" s="5">
        <v>46259</v>
      </c>
      <c r="C132" t="s">
        <v>73</v>
      </c>
      <c r="D132" t="str">
        <f>_xlfn.XLOOKUP(tblStudyData[[#This Row],[Student_ID]],tblStudents[Student_ID],tblStudents[Student_Name],"")</f>
        <v>Naveen</v>
      </c>
      <c r="E132" t="str">
        <f>_xlfn.XLOOKUP(tblStudyData[[#This Row],[Student_ID]],tblStudents[Student_ID],tblStudents[Gender],"")</f>
        <v>Male</v>
      </c>
      <c r="F132">
        <f>_xlfn.XLOOKUP(tblStudyData[[#This Row],[Student_ID]],tblStudents[Student_ID],tblStudents[Grade],"")</f>
        <v>10</v>
      </c>
      <c r="G132" t="str">
        <f>_xlfn.XLOOKUP(tblStudyData[[#This Row],[Student_ID]],tblStudents[Student_ID],tblStudents[Class],"")</f>
        <v>A</v>
      </c>
      <c r="H132" t="s">
        <v>42</v>
      </c>
      <c r="I132" t="s">
        <v>113</v>
      </c>
      <c r="J132" t="s">
        <v>88</v>
      </c>
      <c r="K132">
        <v>3</v>
      </c>
      <c r="L132">
        <v>2.7</v>
      </c>
      <c r="M132" t="s">
        <v>52</v>
      </c>
      <c r="N132" t="s">
        <v>420</v>
      </c>
      <c r="O132">
        <v>67</v>
      </c>
      <c r="P132" t="s">
        <v>409</v>
      </c>
      <c r="Q132" s="20">
        <f>IF(tblStudyData[[#This Row],[Attendence_Status]]="Present",100%,IF(tblStudyData[[#This Row],[Attendence_Status]]="Late",80%,IF(tblStudyData[[#This Row],[Attendence_Status]]="Absent",0%,"")))</f>
        <v>0.8</v>
      </c>
      <c r="R132" t="s">
        <v>56</v>
      </c>
      <c r="S132" t="s">
        <v>58</v>
      </c>
      <c r="T132" t="s">
        <v>64</v>
      </c>
      <c r="U132" t="s">
        <v>413</v>
      </c>
      <c r="V132">
        <f>WEEKNUM(tblStudyData[[#This Row],[Date]],2)</f>
        <v>35</v>
      </c>
    </row>
    <row r="133" spans="1:22" x14ac:dyDescent="0.3">
      <c r="A133" t="s">
        <v>233</v>
      </c>
      <c r="B133" s="5">
        <v>46257</v>
      </c>
      <c r="C133" t="s">
        <v>70</v>
      </c>
      <c r="D133" t="str">
        <f>_xlfn.XLOOKUP(tblStudyData[[#This Row],[Student_ID]],tblStudents[Student_ID],tblStudents[Student_Name],"")</f>
        <v>Neha</v>
      </c>
      <c r="E133" t="str">
        <f>_xlfn.XLOOKUP(tblStudyData[[#This Row],[Student_ID]],tblStudents[Student_ID],tblStudents[Gender],"")</f>
        <v>Female</v>
      </c>
      <c r="F133">
        <f>_xlfn.XLOOKUP(tblStudyData[[#This Row],[Student_ID]],tblStudents[Student_ID],tblStudents[Grade],"")</f>
        <v>11</v>
      </c>
      <c r="G133" t="str">
        <f>_xlfn.XLOOKUP(tblStudyData[[#This Row],[Student_ID]],tblStudents[Student_ID],tblStudents[Class],"")</f>
        <v>B</v>
      </c>
      <c r="H133" t="s">
        <v>42</v>
      </c>
      <c r="I133" t="s">
        <v>113</v>
      </c>
      <c r="J133" t="s">
        <v>49</v>
      </c>
      <c r="K133">
        <v>3</v>
      </c>
      <c r="L133">
        <v>3</v>
      </c>
      <c r="M133" t="s">
        <v>52</v>
      </c>
      <c r="N133" t="s">
        <v>420</v>
      </c>
      <c r="O133">
        <v>89</v>
      </c>
      <c r="P133" t="s">
        <v>53</v>
      </c>
      <c r="Q133" s="20">
        <f>IF(tblStudyData[[#This Row],[Attendence_Status]]="Present",100%,IF(tblStudyData[[#This Row],[Attendence_Status]]="Late",80%,IF(tblStudyData[[#This Row],[Attendence_Status]]="Absent",0%,"")))</f>
        <v>1</v>
      </c>
      <c r="R133" t="s">
        <v>56</v>
      </c>
      <c r="S133" t="s">
        <v>59</v>
      </c>
      <c r="T133" t="s">
        <v>63</v>
      </c>
      <c r="U133" t="s">
        <v>410</v>
      </c>
      <c r="V133">
        <f>WEEKNUM(tblStudyData[[#This Row],[Date]],2)</f>
        <v>34</v>
      </c>
    </row>
    <row r="134" spans="1:22" x14ac:dyDescent="0.3">
      <c r="A134" t="s">
        <v>234</v>
      </c>
      <c r="B134" s="5">
        <v>46247</v>
      </c>
      <c r="C134" t="s">
        <v>69</v>
      </c>
      <c r="D134" t="str">
        <f>_xlfn.XLOOKUP(tblStudyData[[#This Row],[Student_ID]],tblStudents[Student_ID],tblStudents[Student_Name],"")</f>
        <v>Vikaram</v>
      </c>
      <c r="E134" t="str">
        <f>_xlfn.XLOOKUP(tblStudyData[[#This Row],[Student_ID]],tblStudents[Student_ID],tblStudents[Gender],"")</f>
        <v>Male</v>
      </c>
      <c r="F134">
        <f>_xlfn.XLOOKUP(tblStudyData[[#This Row],[Student_ID]],tblStudents[Student_ID],tblStudents[Grade],"")</f>
        <v>10</v>
      </c>
      <c r="G134" t="str">
        <f>_xlfn.XLOOKUP(tblStudyData[[#This Row],[Student_ID]],tblStudents[Student_ID],tblStudents[Class],"")</f>
        <v>B</v>
      </c>
      <c r="H134" t="s">
        <v>42</v>
      </c>
      <c r="I134" t="s">
        <v>113</v>
      </c>
      <c r="J134" t="s">
        <v>88</v>
      </c>
      <c r="K134">
        <v>1</v>
      </c>
      <c r="L134">
        <v>1</v>
      </c>
      <c r="M134" t="s">
        <v>52</v>
      </c>
      <c r="N134" t="s">
        <v>420</v>
      </c>
      <c r="O134">
        <v>88</v>
      </c>
      <c r="P134" t="s">
        <v>409</v>
      </c>
      <c r="Q134" s="20">
        <f>IF(tblStudyData[[#This Row],[Attendence_Status]]="Present",100%,IF(tblStudyData[[#This Row],[Attendence_Status]]="Late",80%,IF(tblStudyData[[#This Row],[Attendence_Status]]="Absent",0%,"")))</f>
        <v>0.8</v>
      </c>
      <c r="R134" t="s">
        <v>55</v>
      </c>
      <c r="S134" t="s">
        <v>91</v>
      </c>
      <c r="T134" t="s">
        <v>65</v>
      </c>
      <c r="U134" t="s">
        <v>411</v>
      </c>
      <c r="V134">
        <f>WEEKNUM(tblStudyData[[#This Row],[Date]],2)</f>
        <v>33</v>
      </c>
    </row>
    <row r="135" spans="1:22" x14ac:dyDescent="0.3">
      <c r="A135" t="s">
        <v>235</v>
      </c>
      <c r="B135" s="5">
        <v>46242</v>
      </c>
      <c r="C135" t="s">
        <v>72</v>
      </c>
      <c r="D135" t="str">
        <f>_xlfn.XLOOKUP(tblStudyData[[#This Row],[Student_ID]],tblStudents[Student_ID],tblStudents[Student_Name],"")</f>
        <v>Pooja</v>
      </c>
      <c r="E135" t="str">
        <f>_xlfn.XLOOKUP(tblStudyData[[#This Row],[Student_ID]],tblStudents[Student_ID],tblStudents[Gender],"")</f>
        <v>Female</v>
      </c>
      <c r="F135">
        <f>_xlfn.XLOOKUP(tblStudyData[[#This Row],[Student_ID]],tblStudents[Student_ID],tblStudents[Grade],"")</f>
        <v>12</v>
      </c>
      <c r="G135" t="str">
        <f>_xlfn.XLOOKUP(tblStudyData[[#This Row],[Student_ID]],tblStudents[Student_ID],tblStudents[Class],"")</f>
        <v>A</v>
      </c>
      <c r="H135" t="s">
        <v>41</v>
      </c>
      <c r="I135" t="s">
        <v>113</v>
      </c>
      <c r="J135" t="s">
        <v>51</v>
      </c>
      <c r="K135">
        <v>1</v>
      </c>
      <c r="L135">
        <v>0.7</v>
      </c>
      <c r="M135" t="s">
        <v>52</v>
      </c>
      <c r="N135" t="s">
        <v>420</v>
      </c>
      <c r="O135">
        <v>74</v>
      </c>
      <c r="P135" t="s">
        <v>53</v>
      </c>
      <c r="Q135" s="20">
        <f>IF(tblStudyData[[#This Row],[Attendence_Status]]="Present",100%,IF(tblStudyData[[#This Row],[Attendence_Status]]="Late",80%,IF(tblStudyData[[#This Row],[Attendence_Status]]="Absent",0%,"")))</f>
        <v>1</v>
      </c>
      <c r="R135" t="s">
        <v>54</v>
      </c>
      <c r="S135" t="s">
        <v>59</v>
      </c>
      <c r="T135" t="s">
        <v>65</v>
      </c>
      <c r="U135" t="s">
        <v>411</v>
      </c>
      <c r="V135">
        <f>WEEKNUM(tblStudyData[[#This Row],[Date]],2)</f>
        <v>32</v>
      </c>
    </row>
    <row r="136" spans="1:22" x14ac:dyDescent="0.3">
      <c r="A136" t="s">
        <v>236</v>
      </c>
      <c r="B136" s="5">
        <v>46251</v>
      </c>
      <c r="C136" t="s">
        <v>74</v>
      </c>
      <c r="D136" t="str">
        <f>_xlfn.XLOOKUP(tblStudyData[[#This Row],[Student_ID]],tblStudents[Student_ID],tblStudents[Student_Name],"")</f>
        <v>Kavya</v>
      </c>
      <c r="E136" t="str">
        <f>_xlfn.XLOOKUP(tblStudyData[[#This Row],[Student_ID]],tblStudents[Student_ID],tblStudents[Gender],"")</f>
        <v>Female</v>
      </c>
      <c r="F136">
        <f>_xlfn.XLOOKUP(tblStudyData[[#This Row],[Student_ID]],tblStudents[Student_ID],tblStudents[Grade],"")</f>
        <v>11</v>
      </c>
      <c r="G136" t="str">
        <f>_xlfn.XLOOKUP(tblStudyData[[#This Row],[Student_ID]],tblStudents[Student_ID],tblStudents[Class],"")</f>
        <v>A</v>
      </c>
      <c r="H136" t="s">
        <v>41</v>
      </c>
      <c r="I136" t="s">
        <v>113</v>
      </c>
      <c r="J136" t="s">
        <v>49</v>
      </c>
      <c r="K136">
        <v>2</v>
      </c>
      <c r="L136">
        <v>1.8</v>
      </c>
      <c r="M136" t="s">
        <v>52</v>
      </c>
      <c r="N136" t="s">
        <v>420</v>
      </c>
      <c r="O136">
        <v>88</v>
      </c>
      <c r="P136" t="s">
        <v>53</v>
      </c>
      <c r="Q136" s="20">
        <f>IF(tblStudyData[[#This Row],[Attendence_Status]]="Present",100%,IF(tblStudyData[[#This Row],[Attendence_Status]]="Late",80%,IF(tblStudyData[[#This Row],[Attendence_Status]]="Absent",0%,"")))</f>
        <v>1</v>
      </c>
      <c r="R136" t="s">
        <v>54</v>
      </c>
      <c r="S136" t="s">
        <v>57</v>
      </c>
      <c r="T136" t="s">
        <v>64</v>
      </c>
      <c r="U136" t="s">
        <v>410</v>
      </c>
      <c r="V136">
        <f>WEEKNUM(tblStudyData[[#This Row],[Date]],2)</f>
        <v>34</v>
      </c>
    </row>
    <row r="137" spans="1:22" x14ac:dyDescent="0.3">
      <c r="A137" t="s">
        <v>237</v>
      </c>
      <c r="B137" s="5">
        <v>46247</v>
      </c>
      <c r="C137" t="s">
        <v>66</v>
      </c>
      <c r="D137" t="str">
        <f>_xlfn.XLOOKUP(tblStudyData[[#This Row],[Student_ID]],tblStudents[Student_ID],tblStudents[Student_Name],"")</f>
        <v>Anjali</v>
      </c>
      <c r="E137" t="str">
        <f>_xlfn.XLOOKUP(tblStudyData[[#This Row],[Student_ID]],tblStudents[Student_ID],tblStudents[Gender],"")</f>
        <v>Female</v>
      </c>
      <c r="F137">
        <f>_xlfn.XLOOKUP(tblStudyData[[#This Row],[Student_ID]],tblStudents[Student_ID],tblStudents[Grade],"")</f>
        <v>11</v>
      </c>
      <c r="G137" t="str">
        <f>_xlfn.XLOOKUP(tblStudyData[[#This Row],[Student_ID]],tblStudents[Student_ID],tblStudents[Class],"")</f>
        <v>A</v>
      </c>
      <c r="H137" t="s">
        <v>41</v>
      </c>
      <c r="I137" t="s">
        <v>113</v>
      </c>
      <c r="J137" t="s">
        <v>51</v>
      </c>
      <c r="K137">
        <v>3</v>
      </c>
      <c r="L137">
        <v>2.2999999999999998</v>
      </c>
      <c r="M137" t="s">
        <v>52</v>
      </c>
      <c r="N137" t="s">
        <v>420</v>
      </c>
      <c r="O137">
        <v>85</v>
      </c>
      <c r="P137" t="s">
        <v>53</v>
      </c>
      <c r="Q137" s="20">
        <f>IF(tblStudyData[[#This Row],[Attendence_Status]]="Present",100%,IF(tblStudyData[[#This Row],[Attendence_Status]]="Late",80%,IF(tblStudyData[[#This Row],[Attendence_Status]]="Absent",0%,"")))</f>
        <v>1</v>
      </c>
      <c r="R137" t="s">
        <v>56</v>
      </c>
      <c r="S137" t="s">
        <v>90</v>
      </c>
      <c r="T137" t="s">
        <v>61</v>
      </c>
      <c r="U137" t="s">
        <v>410</v>
      </c>
      <c r="V137">
        <f>WEEKNUM(tblStudyData[[#This Row],[Date]],2)</f>
        <v>33</v>
      </c>
    </row>
    <row r="138" spans="1:22" x14ac:dyDescent="0.3">
      <c r="A138" t="s">
        <v>238</v>
      </c>
      <c r="B138" s="5">
        <v>46240</v>
      </c>
      <c r="C138" t="s">
        <v>28</v>
      </c>
      <c r="D138" t="str">
        <f>_xlfn.XLOOKUP(tblStudyData[[#This Row],[Student_ID]],tblStudents[Student_ID],tblStudents[Student_Name],"")</f>
        <v>Arjun</v>
      </c>
      <c r="E138" t="str">
        <f>_xlfn.XLOOKUP(tblStudyData[[#This Row],[Student_ID]],tblStudents[Student_ID],tblStudents[Gender],"")</f>
        <v>Male</v>
      </c>
      <c r="F138">
        <f>_xlfn.XLOOKUP(tblStudyData[[#This Row],[Student_ID]],tblStudents[Student_ID],tblStudents[Grade],"")</f>
        <v>11</v>
      </c>
      <c r="G138" t="str">
        <f>_xlfn.XLOOKUP(tblStudyData[[#This Row],[Student_ID]],tblStudents[Student_ID],tblStudents[Class],"")</f>
        <v>B</v>
      </c>
      <c r="H138" t="s">
        <v>41</v>
      </c>
      <c r="I138" t="s">
        <v>113</v>
      </c>
      <c r="J138" t="s">
        <v>88</v>
      </c>
      <c r="K138">
        <v>4</v>
      </c>
      <c r="L138">
        <v>2.8</v>
      </c>
      <c r="M138" t="s">
        <v>52</v>
      </c>
      <c r="N138" t="s">
        <v>420</v>
      </c>
      <c r="O138">
        <v>80</v>
      </c>
      <c r="P138" t="s">
        <v>53</v>
      </c>
      <c r="Q138" s="20">
        <f>IF(tblStudyData[[#This Row],[Attendence_Status]]="Present",100%,IF(tblStudyData[[#This Row],[Attendence_Status]]="Late",80%,IF(tblStudyData[[#This Row],[Attendence_Status]]="Absent",0%,"")))</f>
        <v>1</v>
      </c>
      <c r="R138" t="s">
        <v>54</v>
      </c>
      <c r="S138" t="s">
        <v>58</v>
      </c>
      <c r="T138" t="s">
        <v>62</v>
      </c>
      <c r="U138" t="s">
        <v>410</v>
      </c>
      <c r="V138">
        <f>WEEKNUM(tblStudyData[[#This Row],[Date]],2)</f>
        <v>32</v>
      </c>
    </row>
    <row r="139" spans="1:22" x14ac:dyDescent="0.3">
      <c r="A139" t="s">
        <v>239</v>
      </c>
      <c r="B139" s="5">
        <v>46243</v>
      </c>
      <c r="C139" t="s">
        <v>68</v>
      </c>
      <c r="D139" t="str">
        <f>_xlfn.XLOOKUP(tblStudyData[[#This Row],[Student_ID]],tblStudents[Student_ID],tblStudents[Student_Name],"")</f>
        <v>Divya</v>
      </c>
      <c r="E139" t="str">
        <f>_xlfn.XLOOKUP(tblStudyData[[#This Row],[Student_ID]],tblStudents[Student_ID],tblStudents[Gender],"")</f>
        <v>Female</v>
      </c>
      <c r="F139">
        <f>_xlfn.XLOOKUP(tblStudyData[[#This Row],[Student_ID]],tblStudents[Student_ID],tblStudents[Grade],"")</f>
        <v>12</v>
      </c>
      <c r="G139" t="str">
        <f>_xlfn.XLOOKUP(tblStudyData[[#This Row],[Student_ID]],tblStudents[Student_ID],tblStudents[Class],"")</f>
        <v>B</v>
      </c>
      <c r="H139" t="s">
        <v>41</v>
      </c>
      <c r="I139" t="s">
        <v>113</v>
      </c>
      <c r="J139" t="s">
        <v>50</v>
      </c>
      <c r="K139">
        <v>1</v>
      </c>
      <c r="L139">
        <v>1</v>
      </c>
      <c r="M139" t="s">
        <v>52</v>
      </c>
      <c r="N139" t="s">
        <v>420</v>
      </c>
      <c r="O139">
        <v>90</v>
      </c>
      <c r="P139" t="s">
        <v>53</v>
      </c>
      <c r="Q139" s="20">
        <f>IF(tblStudyData[[#This Row],[Attendence_Status]]="Present",100%,IF(tblStudyData[[#This Row],[Attendence_Status]]="Late",80%,IF(tblStudyData[[#This Row],[Attendence_Status]]="Absent",0%,"")))</f>
        <v>1</v>
      </c>
      <c r="R139" t="s">
        <v>54</v>
      </c>
      <c r="S139" t="s">
        <v>60</v>
      </c>
      <c r="T139" t="s">
        <v>65</v>
      </c>
      <c r="U139" t="s">
        <v>414</v>
      </c>
      <c r="V139">
        <f>WEEKNUM(tblStudyData[[#This Row],[Date]],2)</f>
        <v>32</v>
      </c>
    </row>
    <row r="140" spans="1:22" x14ac:dyDescent="0.3">
      <c r="A140" t="s">
        <v>240</v>
      </c>
      <c r="B140" s="5">
        <v>46240</v>
      </c>
      <c r="C140" t="s">
        <v>69</v>
      </c>
      <c r="D140" t="str">
        <f>_xlfn.XLOOKUP(tblStudyData[[#This Row],[Student_ID]],tblStudents[Student_ID],tblStudents[Student_Name],"")</f>
        <v>Vikaram</v>
      </c>
      <c r="E140" t="str">
        <f>_xlfn.XLOOKUP(tblStudyData[[#This Row],[Student_ID]],tblStudents[Student_ID],tblStudents[Gender],"")</f>
        <v>Male</v>
      </c>
      <c r="F140">
        <f>_xlfn.XLOOKUP(tblStudyData[[#This Row],[Student_ID]],tblStudents[Student_ID],tblStudents[Grade],"")</f>
        <v>10</v>
      </c>
      <c r="G140" t="str">
        <f>_xlfn.XLOOKUP(tblStudyData[[#This Row],[Student_ID]],tblStudents[Student_ID],tblStudents[Class],"")</f>
        <v>B</v>
      </c>
      <c r="H140" t="s">
        <v>41</v>
      </c>
      <c r="I140" t="s">
        <v>113</v>
      </c>
      <c r="J140" t="s">
        <v>50</v>
      </c>
      <c r="K140">
        <v>2</v>
      </c>
      <c r="L140">
        <v>1.3</v>
      </c>
      <c r="M140" t="s">
        <v>52</v>
      </c>
      <c r="N140" t="s">
        <v>420</v>
      </c>
      <c r="O140">
        <v>61</v>
      </c>
      <c r="P140" t="s">
        <v>53</v>
      </c>
      <c r="Q140" s="20">
        <f>IF(tblStudyData[[#This Row],[Attendence_Status]]="Present",100%,IF(tblStudyData[[#This Row],[Attendence_Status]]="Late",80%,IF(tblStudyData[[#This Row],[Attendence_Status]]="Absent",0%,"")))</f>
        <v>1</v>
      </c>
      <c r="R140" t="s">
        <v>55</v>
      </c>
      <c r="S140" t="s">
        <v>59</v>
      </c>
      <c r="T140" t="s">
        <v>61</v>
      </c>
      <c r="U140" t="s">
        <v>413</v>
      </c>
      <c r="V140">
        <f>WEEKNUM(tblStudyData[[#This Row],[Date]],2)</f>
        <v>32</v>
      </c>
    </row>
    <row r="141" spans="1:22" x14ac:dyDescent="0.3">
      <c r="A141" t="s">
        <v>241</v>
      </c>
      <c r="B141" s="5">
        <v>46255</v>
      </c>
      <c r="C141" t="s">
        <v>29</v>
      </c>
      <c r="D141" t="str">
        <f>_xlfn.XLOOKUP(tblStudyData[[#This Row],[Student_ID]],tblStudents[Student_ID],tblStudents[Student_Name],"")</f>
        <v>Sneha</v>
      </c>
      <c r="E141" t="str">
        <f>_xlfn.XLOOKUP(tblStudyData[[#This Row],[Student_ID]],tblStudents[Student_ID],tblStudents[Gender],"")</f>
        <v>Female</v>
      </c>
      <c r="F141">
        <f>_xlfn.XLOOKUP(tblStudyData[[#This Row],[Student_ID]],tblStudents[Student_ID],tblStudents[Grade],"")</f>
        <v>0</v>
      </c>
      <c r="G141" t="str">
        <f>_xlfn.XLOOKUP(tblStudyData[[#This Row],[Student_ID]],tblStudents[Student_ID],tblStudents[Class],"")</f>
        <v>B</v>
      </c>
      <c r="H141" t="s">
        <v>42</v>
      </c>
      <c r="I141" t="s">
        <v>113</v>
      </c>
      <c r="J141" t="s">
        <v>51</v>
      </c>
      <c r="K141">
        <v>4</v>
      </c>
      <c r="L141">
        <v>3</v>
      </c>
      <c r="M141" t="s">
        <v>52</v>
      </c>
      <c r="N141" t="s">
        <v>420</v>
      </c>
      <c r="O141">
        <v>91</v>
      </c>
      <c r="P141" t="s">
        <v>53</v>
      </c>
      <c r="Q141" s="20">
        <f>IF(tblStudyData[[#This Row],[Attendence_Status]]="Present",100%,IF(tblStudyData[[#This Row],[Attendence_Status]]="Late",80%,IF(tblStudyData[[#This Row],[Attendence_Status]]="Absent",0%,"")))</f>
        <v>1</v>
      </c>
      <c r="R141" t="s">
        <v>54</v>
      </c>
      <c r="S141" t="s">
        <v>59</v>
      </c>
      <c r="T141" t="s">
        <v>62</v>
      </c>
      <c r="U141" t="s">
        <v>414</v>
      </c>
      <c r="V141">
        <f>WEEKNUM(tblStudyData[[#This Row],[Date]],2)</f>
        <v>34</v>
      </c>
    </row>
    <row r="142" spans="1:22" x14ac:dyDescent="0.3">
      <c r="A142" t="s">
        <v>242</v>
      </c>
      <c r="B142" s="5">
        <v>46245</v>
      </c>
      <c r="C142" t="s">
        <v>72</v>
      </c>
      <c r="D142" t="str">
        <f>_xlfn.XLOOKUP(tblStudyData[[#This Row],[Student_ID]],tblStudents[Student_ID],tblStudents[Student_Name],"")</f>
        <v>Pooja</v>
      </c>
      <c r="E142" t="str">
        <f>_xlfn.XLOOKUP(tblStudyData[[#This Row],[Student_ID]],tblStudents[Student_ID],tblStudents[Gender],"")</f>
        <v>Female</v>
      </c>
      <c r="F142">
        <f>_xlfn.XLOOKUP(tblStudyData[[#This Row],[Student_ID]],tblStudents[Student_ID],tblStudents[Grade],"")</f>
        <v>12</v>
      </c>
      <c r="G142" t="str">
        <f>_xlfn.XLOOKUP(tblStudyData[[#This Row],[Student_ID]],tblStudents[Student_ID],tblStudents[Class],"")</f>
        <v>A</v>
      </c>
      <c r="H142" t="s">
        <v>40</v>
      </c>
      <c r="I142" t="s">
        <v>113</v>
      </c>
      <c r="J142" t="s">
        <v>88</v>
      </c>
      <c r="K142">
        <v>4</v>
      </c>
      <c r="L142">
        <v>3.8</v>
      </c>
      <c r="M142" t="s">
        <v>52</v>
      </c>
      <c r="N142" t="s">
        <v>420</v>
      </c>
      <c r="O142">
        <v>99</v>
      </c>
      <c r="P142" t="s">
        <v>409</v>
      </c>
      <c r="Q142" s="20">
        <f>IF(tblStudyData[[#This Row],[Attendence_Status]]="Present",100%,IF(tblStudyData[[#This Row],[Attendence_Status]]="Late",80%,IF(tblStudyData[[#This Row],[Attendence_Status]]="Absent",0%,"")))</f>
        <v>0.8</v>
      </c>
      <c r="R142" t="s">
        <v>55</v>
      </c>
      <c r="S142" t="s">
        <v>59</v>
      </c>
      <c r="T142" t="s">
        <v>93</v>
      </c>
      <c r="U142" t="s">
        <v>411</v>
      </c>
      <c r="V142">
        <f>WEEKNUM(tblStudyData[[#This Row],[Date]],2)</f>
        <v>33</v>
      </c>
    </row>
    <row r="143" spans="1:22" x14ac:dyDescent="0.3">
      <c r="A143" t="s">
        <v>243</v>
      </c>
      <c r="B143" s="5">
        <v>46239</v>
      </c>
      <c r="C143" t="s">
        <v>27</v>
      </c>
      <c r="D143" t="str">
        <f>_xlfn.XLOOKUP(tblStudyData[[#This Row],[Student_ID]],tblStudents[Student_ID],tblStudents[Student_Name],"")</f>
        <v>Priya</v>
      </c>
      <c r="E143" t="str">
        <f>_xlfn.XLOOKUP(tblStudyData[[#This Row],[Student_ID]],tblStudents[Student_ID],tblStudents[Gender],"")</f>
        <v>Female</v>
      </c>
      <c r="F143">
        <f>_xlfn.XLOOKUP(tblStudyData[[#This Row],[Student_ID]],tblStudents[Student_ID],tblStudents[Grade],"")</f>
        <v>10</v>
      </c>
      <c r="G143" t="str">
        <f>_xlfn.XLOOKUP(tblStudyData[[#This Row],[Student_ID]],tblStudents[Student_ID],tblStudents[Class],"")</f>
        <v>A</v>
      </c>
      <c r="H143" t="s">
        <v>40</v>
      </c>
      <c r="I143" t="s">
        <v>113</v>
      </c>
      <c r="J143" t="s">
        <v>88</v>
      </c>
      <c r="K143">
        <v>1</v>
      </c>
      <c r="L143">
        <v>0.9</v>
      </c>
      <c r="M143" t="s">
        <v>52</v>
      </c>
      <c r="N143" t="s">
        <v>420</v>
      </c>
      <c r="O143">
        <v>80</v>
      </c>
      <c r="P143" t="s">
        <v>409</v>
      </c>
      <c r="Q143" s="20">
        <f>IF(tblStudyData[[#This Row],[Attendence_Status]]="Present",100%,IF(tblStudyData[[#This Row],[Attendence_Status]]="Late",80%,IF(tblStudyData[[#This Row],[Attendence_Status]]="Absent",0%,"")))</f>
        <v>0.8</v>
      </c>
      <c r="R143" t="s">
        <v>54</v>
      </c>
      <c r="S143" t="s">
        <v>91</v>
      </c>
      <c r="T143" t="s">
        <v>61</v>
      </c>
      <c r="U143" t="s">
        <v>410</v>
      </c>
      <c r="V143">
        <f>WEEKNUM(tblStudyData[[#This Row],[Date]],2)</f>
        <v>32</v>
      </c>
    </row>
    <row r="144" spans="1:22" x14ac:dyDescent="0.3">
      <c r="A144" t="s">
        <v>244</v>
      </c>
      <c r="B144" s="5">
        <v>46255</v>
      </c>
      <c r="C144" t="s">
        <v>69</v>
      </c>
      <c r="D144" t="str">
        <f>_xlfn.XLOOKUP(tblStudyData[[#This Row],[Student_ID]],tblStudents[Student_ID],tblStudents[Student_Name],"")</f>
        <v>Vikaram</v>
      </c>
      <c r="E144" t="str">
        <f>_xlfn.XLOOKUP(tblStudyData[[#This Row],[Student_ID]],tblStudents[Student_ID],tblStudents[Gender],"")</f>
        <v>Male</v>
      </c>
      <c r="F144">
        <f>_xlfn.XLOOKUP(tblStudyData[[#This Row],[Student_ID]],tblStudents[Student_ID],tblStudents[Grade],"")</f>
        <v>10</v>
      </c>
      <c r="G144" t="str">
        <f>_xlfn.XLOOKUP(tblStudyData[[#This Row],[Student_ID]],tblStudents[Student_ID],tblStudents[Class],"")</f>
        <v>B</v>
      </c>
      <c r="H144" t="s">
        <v>40</v>
      </c>
      <c r="I144" t="s">
        <v>113</v>
      </c>
      <c r="J144" t="s">
        <v>49</v>
      </c>
      <c r="K144">
        <v>2</v>
      </c>
      <c r="L144">
        <v>1.6</v>
      </c>
      <c r="M144" t="s">
        <v>52</v>
      </c>
      <c r="N144" t="s">
        <v>420</v>
      </c>
      <c r="O144">
        <v>77</v>
      </c>
      <c r="P144" t="s">
        <v>53</v>
      </c>
      <c r="Q144" s="20">
        <f>IF(tblStudyData[[#This Row],[Attendence_Status]]="Present",100%,IF(tblStudyData[[#This Row],[Attendence_Status]]="Late",80%,IF(tblStudyData[[#This Row],[Attendence_Status]]="Absent",0%,"")))</f>
        <v>1</v>
      </c>
      <c r="R144" t="s">
        <v>55</v>
      </c>
      <c r="S144" t="s">
        <v>90</v>
      </c>
      <c r="T144" t="s">
        <v>93</v>
      </c>
      <c r="U144" t="s">
        <v>411</v>
      </c>
      <c r="V144">
        <f>WEEKNUM(tblStudyData[[#This Row],[Date]],2)</f>
        <v>34</v>
      </c>
    </row>
    <row r="145" spans="1:22" x14ac:dyDescent="0.3">
      <c r="A145" t="s">
        <v>245</v>
      </c>
      <c r="B145" s="5">
        <v>46263</v>
      </c>
      <c r="C145" t="s">
        <v>27</v>
      </c>
      <c r="D145" t="str">
        <f>_xlfn.XLOOKUP(tblStudyData[[#This Row],[Student_ID]],tblStudents[Student_ID],tblStudents[Student_Name],"")</f>
        <v>Priya</v>
      </c>
      <c r="E145" t="str">
        <f>_xlfn.XLOOKUP(tblStudyData[[#This Row],[Student_ID]],tblStudents[Student_ID],tblStudents[Gender],"")</f>
        <v>Female</v>
      </c>
      <c r="F145">
        <f>_xlfn.XLOOKUP(tblStudyData[[#This Row],[Student_ID]],tblStudents[Student_ID],tblStudents[Grade],"")</f>
        <v>10</v>
      </c>
      <c r="G145" t="str">
        <f>_xlfn.XLOOKUP(tblStudyData[[#This Row],[Student_ID]],tblStudents[Student_ID],tblStudents[Class],"")</f>
        <v>A</v>
      </c>
      <c r="H145" t="s">
        <v>86</v>
      </c>
      <c r="I145" t="s">
        <v>113</v>
      </c>
      <c r="J145" t="s">
        <v>51</v>
      </c>
      <c r="K145">
        <v>4</v>
      </c>
      <c r="L145">
        <v>2.6</v>
      </c>
      <c r="M145" t="s">
        <v>52</v>
      </c>
      <c r="N145" t="s">
        <v>420</v>
      </c>
      <c r="O145">
        <v>90</v>
      </c>
      <c r="P145" t="s">
        <v>412</v>
      </c>
      <c r="Q145" s="20">
        <v>0.75</v>
      </c>
      <c r="R145" t="s">
        <v>56</v>
      </c>
      <c r="S145" t="s">
        <v>57</v>
      </c>
      <c r="T145" t="s">
        <v>61</v>
      </c>
      <c r="U145" t="s">
        <v>413</v>
      </c>
      <c r="V145">
        <f>WEEKNUM(tblStudyData[[#This Row],[Date]],2)</f>
        <v>35</v>
      </c>
    </row>
    <row r="146" spans="1:22" x14ac:dyDescent="0.3">
      <c r="A146" t="s">
        <v>246</v>
      </c>
      <c r="B146" s="5">
        <v>46236</v>
      </c>
      <c r="C146" t="s">
        <v>70</v>
      </c>
      <c r="D146" t="str">
        <f>_xlfn.XLOOKUP(tblStudyData[[#This Row],[Student_ID]],tblStudents[Student_ID],tblStudents[Student_Name],"")</f>
        <v>Neha</v>
      </c>
      <c r="E146" t="str">
        <f>_xlfn.XLOOKUP(tblStudyData[[#This Row],[Student_ID]],tblStudents[Student_ID],tblStudents[Gender],"")</f>
        <v>Female</v>
      </c>
      <c r="F146">
        <f>_xlfn.XLOOKUP(tblStudyData[[#This Row],[Student_ID]],tblStudents[Student_ID],tblStudents[Grade],"")</f>
        <v>11</v>
      </c>
      <c r="G146" t="str">
        <f>_xlfn.XLOOKUP(tblStudyData[[#This Row],[Student_ID]],tblStudents[Student_ID],tblStudents[Class],"")</f>
        <v>B</v>
      </c>
      <c r="H146" t="s">
        <v>40</v>
      </c>
      <c r="I146" t="s">
        <v>113</v>
      </c>
      <c r="J146" t="s">
        <v>49</v>
      </c>
      <c r="K146">
        <v>1</v>
      </c>
      <c r="L146">
        <v>0.6</v>
      </c>
      <c r="M146" t="s">
        <v>52</v>
      </c>
      <c r="N146" t="s">
        <v>420</v>
      </c>
      <c r="O146">
        <v>68</v>
      </c>
      <c r="P146" t="s">
        <v>53</v>
      </c>
      <c r="Q146" s="20">
        <f>IF(tblStudyData[[#This Row],[Attendence_Status]]="Present",100%,IF(tblStudyData[[#This Row],[Attendence_Status]]="Late",80%,IF(tblStudyData[[#This Row],[Attendence_Status]]="Absent",0%,"")))</f>
        <v>1</v>
      </c>
      <c r="R146" t="s">
        <v>55</v>
      </c>
      <c r="S146" t="s">
        <v>57</v>
      </c>
      <c r="T146" t="s">
        <v>62</v>
      </c>
      <c r="U146" t="s">
        <v>413</v>
      </c>
      <c r="V146">
        <f>WEEKNUM(tblStudyData[[#This Row],[Date]],2)</f>
        <v>31</v>
      </c>
    </row>
    <row r="147" spans="1:22" x14ac:dyDescent="0.3">
      <c r="A147" t="s">
        <v>247</v>
      </c>
      <c r="B147" s="5">
        <v>46257</v>
      </c>
      <c r="C147" t="s">
        <v>73</v>
      </c>
      <c r="D147" t="str">
        <f>_xlfn.XLOOKUP(tblStudyData[[#This Row],[Student_ID]],tblStudents[Student_ID],tblStudents[Student_Name],"")</f>
        <v>Naveen</v>
      </c>
      <c r="E147" t="str">
        <f>_xlfn.XLOOKUP(tblStudyData[[#This Row],[Student_ID]],tblStudents[Student_ID],tblStudents[Gender],"")</f>
        <v>Male</v>
      </c>
      <c r="F147">
        <f>_xlfn.XLOOKUP(tblStudyData[[#This Row],[Student_ID]],tblStudents[Student_ID],tblStudents[Grade],"")</f>
        <v>10</v>
      </c>
      <c r="G147" t="str">
        <f>_xlfn.XLOOKUP(tblStudyData[[#This Row],[Student_ID]],tblStudents[Student_ID],tblStudents[Class],"")</f>
        <v>A</v>
      </c>
      <c r="H147" t="s">
        <v>86</v>
      </c>
      <c r="I147" t="s">
        <v>113</v>
      </c>
      <c r="J147" t="s">
        <v>49</v>
      </c>
      <c r="K147">
        <v>4</v>
      </c>
      <c r="L147">
        <v>2.4</v>
      </c>
      <c r="M147" t="s">
        <v>52</v>
      </c>
      <c r="N147" t="s">
        <v>420</v>
      </c>
      <c r="O147">
        <v>72</v>
      </c>
      <c r="P147" t="s">
        <v>53</v>
      </c>
      <c r="Q147" s="20">
        <f>IF(tblStudyData[[#This Row],[Attendence_Status]]="Present",100%,IF(tblStudyData[[#This Row],[Attendence_Status]]="Late",80%,IF(tblStudyData[[#This Row],[Attendence_Status]]="Absent",0%,"")))</f>
        <v>1</v>
      </c>
      <c r="R147" t="s">
        <v>54</v>
      </c>
      <c r="S147" t="s">
        <v>90</v>
      </c>
      <c r="T147" t="s">
        <v>61</v>
      </c>
      <c r="U147" t="s">
        <v>411</v>
      </c>
      <c r="V147">
        <f>WEEKNUM(tblStudyData[[#This Row],[Date]],2)</f>
        <v>34</v>
      </c>
    </row>
    <row r="148" spans="1:22" x14ac:dyDescent="0.3">
      <c r="A148" t="s">
        <v>248</v>
      </c>
      <c r="B148" s="5">
        <v>46238</v>
      </c>
      <c r="C148" t="s">
        <v>66</v>
      </c>
      <c r="D148" t="str">
        <f>_xlfn.XLOOKUP(tblStudyData[[#This Row],[Student_ID]],tblStudents[Student_ID],tblStudents[Student_Name],"")</f>
        <v>Anjali</v>
      </c>
      <c r="E148" t="str">
        <f>_xlfn.XLOOKUP(tblStudyData[[#This Row],[Student_ID]],tblStudents[Student_ID],tblStudents[Gender],"")</f>
        <v>Female</v>
      </c>
      <c r="F148">
        <f>_xlfn.XLOOKUP(tblStudyData[[#This Row],[Student_ID]],tblStudents[Student_ID],tblStudents[Grade],"")</f>
        <v>11</v>
      </c>
      <c r="G148" t="str">
        <f>_xlfn.XLOOKUP(tblStudyData[[#This Row],[Student_ID]],tblStudents[Student_ID],tblStudents[Class],"")</f>
        <v>A</v>
      </c>
      <c r="H148" t="s">
        <v>40</v>
      </c>
      <c r="I148" t="s">
        <v>113</v>
      </c>
      <c r="J148" t="s">
        <v>88</v>
      </c>
      <c r="K148">
        <v>4</v>
      </c>
      <c r="L148">
        <v>3.3</v>
      </c>
      <c r="M148" t="s">
        <v>52</v>
      </c>
      <c r="N148" t="s">
        <v>420</v>
      </c>
      <c r="O148">
        <v>95</v>
      </c>
      <c r="P148" t="s">
        <v>53</v>
      </c>
      <c r="Q148" s="20">
        <f>IF(tblStudyData[[#This Row],[Attendence_Status]]="Present",100%,IF(tblStudyData[[#This Row],[Attendence_Status]]="Late",80%,IF(tblStudyData[[#This Row],[Attendence_Status]]="Absent",0%,"")))</f>
        <v>1</v>
      </c>
      <c r="R148" t="s">
        <v>56</v>
      </c>
      <c r="S148" t="s">
        <v>60</v>
      </c>
      <c r="T148" t="s">
        <v>65</v>
      </c>
      <c r="U148" t="s">
        <v>414</v>
      </c>
      <c r="V148">
        <f>WEEKNUM(tblStudyData[[#This Row],[Date]],2)</f>
        <v>32</v>
      </c>
    </row>
    <row r="149" spans="1:22" x14ac:dyDescent="0.3">
      <c r="A149" t="s">
        <v>249</v>
      </c>
      <c r="B149" s="5">
        <v>46260</v>
      </c>
      <c r="C149" t="s">
        <v>28</v>
      </c>
      <c r="D149" t="str">
        <f>_xlfn.XLOOKUP(tblStudyData[[#This Row],[Student_ID]],tblStudents[Student_ID],tblStudents[Student_Name],"")</f>
        <v>Arjun</v>
      </c>
      <c r="E149" t="str">
        <f>_xlfn.XLOOKUP(tblStudyData[[#This Row],[Student_ID]],tblStudents[Student_ID],tblStudents[Gender],"")</f>
        <v>Male</v>
      </c>
      <c r="F149">
        <f>_xlfn.XLOOKUP(tblStudyData[[#This Row],[Student_ID]],tblStudents[Student_ID],tblStudents[Grade],"")</f>
        <v>11</v>
      </c>
      <c r="G149" t="str">
        <f>_xlfn.XLOOKUP(tblStudyData[[#This Row],[Student_ID]],tblStudents[Student_ID],tblStudents[Class],"")</f>
        <v>B</v>
      </c>
      <c r="H149" t="s">
        <v>86</v>
      </c>
      <c r="I149" t="s">
        <v>113</v>
      </c>
      <c r="J149" t="s">
        <v>88</v>
      </c>
      <c r="K149">
        <v>1</v>
      </c>
      <c r="L149">
        <v>0.8</v>
      </c>
      <c r="M149" t="s">
        <v>52</v>
      </c>
      <c r="N149" t="s">
        <v>420</v>
      </c>
      <c r="O149">
        <v>84</v>
      </c>
      <c r="P149" t="s">
        <v>53</v>
      </c>
      <c r="Q149" s="20">
        <f>IF(tblStudyData[[#This Row],[Attendence_Status]]="Present",100%,IF(tblStudyData[[#This Row],[Attendence_Status]]="Late",80%,IF(tblStudyData[[#This Row],[Attendence_Status]]="Absent",0%,"")))</f>
        <v>1</v>
      </c>
      <c r="R149" t="s">
        <v>56</v>
      </c>
      <c r="S149" t="s">
        <v>57</v>
      </c>
      <c r="T149" t="s">
        <v>93</v>
      </c>
      <c r="U149" t="s">
        <v>410</v>
      </c>
      <c r="V149">
        <f>WEEKNUM(tblStudyData[[#This Row],[Date]],2)</f>
        <v>35</v>
      </c>
    </row>
    <row r="150" spans="1:22" x14ac:dyDescent="0.3">
      <c r="A150" t="s">
        <v>250</v>
      </c>
      <c r="B150" s="5">
        <v>46259</v>
      </c>
      <c r="C150" t="s">
        <v>67</v>
      </c>
      <c r="D150" t="str">
        <f>_xlfn.XLOOKUP(tblStudyData[[#This Row],[Student_ID]],tblStudents[Student_ID],tblStudents[Student_Name],"")</f>
        <v>Rohit</v>
      </c>
      <c r="E150" t="str">
        <f>_xlfn.XLOOKUP(tblStudyData[[#This Row],[Student_ID]],tblStudents[Student_ID],tblStudents[Gender],"")</f>
        <v>Male</v>
      </c>
      <c r="F150">
        <f>_xlfn.XLOOKUP(tblStudyData[[#This Row],[Student_ID]],tblStudents[Student_ID],tblStudents[Grade],"")</f>
        <v>9</v>
      </c>
      <c r="G150" t="str">
        <f>_xlfn.XLOOKUP(tblStudyData[[#This Row],[Student_ID]],tblStudents[Student_ID],tblStudents[Class],"")</f>
        <v>A</v>
      </c>
      <c r="H150" t="s">
        <v>86</v>
      </c>
      <c r="I150" t="s">
        <v>113</v>
      </c>
      <c r="J150" t="s">
        <v>50</v>
      </c>
      <c r="K150">
        <v>4</v>
      </c>
      <c r="L150">
        <v>3.5</v>
      </c>
      <c r="M150" t="s">
        <v>52</v>
      </c>
      <c r="N150" t="s">
        <v>420</v>
      </c>
      <c r="O150">
        <v>86</v>
      </c>
      <c r="P150" t="s">
        <v>409</v>
      </c>
      <c r="Q150" s="20">
        <f>IF(tblStudyData[[#This Row],[Attendence_Status]]="Present",100%,IF(tblStudyData[[#This Row],[Attendence_Status]]="Late",80%,IF(tblStudyData[[#This Row],[Attendence_Status]]="Absent",0%,"")))</f>
        <v>0.8</v>
      </c>
      <c r="R150" t="s">
        <v>54</v>
      </c>
      <c r="S150" t="s">
        <v>57</v>
      </c>
      <c r="T150" t="s">
        <v>64</v>
      </c>
      <c r="U150" t="s">
        <v>411</v>
      </c>
      <c r="V150">
        <f>WEEKNUM(tblStudyData[[#This Row],[Date]],2)</f>
        <v>35</v>
      </c>
    </row>
    <row r="151" spans="1:22" x14ac:dyDescent="0.3">
      <c r="A151" t="s">
        <v>251</v>
      </c>
      <c r="B151" s="5">
        <v>46258</v>
      </c>
      <c r="C151" t="s">
        <v>69</v>
      </c>
      <c r="D151" t="str">
        <f>_xlfn.XLOOKUP(tblStudyData[[#This Row],[Student_ID]],tblStudents[Student_ID],tblStudents[Student_Name],"")</f>
        <v>Vikaram</v>
      </c>
      <c r="E151" t="str">
        <f>_xlfn.XLOOKUP(tblStudyData[[#This Row],[Student_ID]],tblStudents[Student_ID],tblStudents[Gender],"")</f>
        <v>Male</v>
      </c>
      <c r="F151">
        <f>_xlfn.XLOOKUP(tblStudyData[[#This Row],[Student_ID]],tblStudents[Student_ID],tblStudents[Grade],"")</f>
        <v>10</v>
      </c>
      <c r="G151" t="str">
        <f>_xlfn.XLOOKUP(tblStudyData[[#This Row],[Student_ID]],tblStudents[Student_ID],tblStudents[Class],"")</f>
        <v>B</v>
      </c>
      <c r="H151" t="s">
        <v>40</v>
      </c>
      <c r="I151" t="s">
        <v>113</v>
      </c>
      <c r="J151" t="s">
        <v>88</v>
      </c>
      <c r="K151">
        <v>1</v>
      </c>
      <c r="L151">
        <v>1</v>
      </c>
      <c r="M151" t="s">
        <v>52</v>
      </c>
      <c r="N151" t="s">
        <v>420</v>
      </c>
      <c r="O151">
        <v>85</v>
      </c>
      <c r="P151" t="s">
        <v>412</v>
      </c>
      <c r="Q151" s="20">
        <v>0.77</v>
      </c>
      <c r="R151" t="s">
        <v>54</v>
      </c>
      <c r="S151" t="s">
        <v>59</v>
      </c>
      <c r="T151" t="s">
        <v>65</v>
      </c>
      <c r="U151" t="s">
        <v>413</v>
      </c>
      <c r="V151">
        <f>WEEKNUM(tblStudyData[[#This Row],[Date]],2)</f>
        <v>35</v>
      </c>
    </row>
    <row r="152" spans="1:22" x14ac:dyDescent="0.3">
      <c r="A152" t="s">
        <v>252</v>
      </c>
      <c r="B152" s="5">
        <v>46237</v>
      </c>
      <c r="C152" t="s">
        <v>70</v>
      </c>
      <c r="D152" t="str">
        <f>_xlfn.XLOOKUP(tblStudyData[[#This Row],[Student_ID]],tblStudents[Student_ID],tblStudents[Student_Name],"")</f>
        <v>Neha</v>
      </c>
      <c r="E152" t="str">
        <f>_xlfn.XLOOKUP(tblStudyData[[#This Row],[Student_ID]],tblStudents[Student_ID],tblStudents[Gender],"")</f>
        <v>Female</v>
      </c>
      <c r="F152">
        <f>_xlfn.XLOOKUP(tblStudyData[[#This Row],[Student_ID]],tblStudents[Student_ID],tblStudents[Grade],"")</f>
        <v>11</v>
      </c>
      <c r="G152" t="str">
        <f>_xlfn.XLOOKUP(tblStudyData[[#This Row],[Student_ID]],tblStudents[Student_ID],tblStudents[Class],"")</f>
        <v>B</v>
      </c>
      <c r="H152" t="s">
        <v>43</v>
      </c>
      <c r="I152" t="s">
        <v>113</v>
      </c>
      <c r="J152" t="s">
        <v>88</v>
      </c>
      <c r="K152">
        <v>2</v>
      </c>
      <c r="L152">
        <v>1.9</v>
      </c>
      <c r="M152" t="s">
        <v>52</v>
      </c>
      <c r="N152" t="s">
        <v>420</v>
      </c>
      <c r="O152">
        <v>86</v>
      </c>
      <c r="P152" t="s">
        <v>53</v>
      </c>
      <c r="Q152" s="20">
        <f>IF(tblStudyData[[#This Row],[Attendence_Status]]="Present",100%,IF(tblStudyData[[#This Row],[Attendence_Status]]="Late",80%,IF(tblStudyData[[#This Row],[Attendence_Status]]="Absent",0%,"")))</f>
        <v>1</v>
      </c>
      <c r="R152" t="s">
        <v>56</v>
      </c>
      <c r="S152" t="s">
        <v>91</v>
      </c>
      <c r="T152" t="s">
        <v>63</v>
      </c>
      <c r="U152" t="s">
        <v>410</v>
      </c>
      <c r="V152">
        <f>WEEKNUM(tblStudyData[[#This Row],[Date]],2)</f>
        <v>32</v>
      </c>
    </row>
    <row r="153" spans="1:22" x14ac:dyDescent="0.3">
      <c r="A153" t="s">
        <v>253</v>
      </c>
      <c r="B153" s="5">
        <v>46249</v>
      </c>
      <c r="C153" t="s">
        <v>67</v>
      </c>
      <c r="D153" t="str">
        <f>_xlfn.XLOOKUP(tblStudyData[[#This Row],[Student_ID]],tblStudents[Student_ID],tblStudents[Student_Name],"")</f>
        <v>Rohit</v>
      </c>
      <c r="E153" t="str">
        <f>_xlfn.XLOOKUP(tblStudyData[[#This Row],[Student_ID]],tblStudents[Student_ID],tblStudents[Gender],"")</f>
        <v>Male</v>
      </c>
      <c r="F153">
        <f>_xlfn.XLOOKUP(tblStudyData[[#This Row],[Student_ID]],tblStudents[Student_ID],tblStudents[Grade],"")</f>
        <v>9</v>
      </c>
      <c r="G153" t="str">
        <f>_xlfn.XLOOKUP(tblStudyData[[#This Row],[Student_ID]],tblStudents[Student_ID],tblStudents[Class],"")</f>
        <v>A</v>
      </c>
      <c r="H153" t="s">
        <v>40</v>
      </c>
      <c r="I153" t="s">
        <v>113</v>
      </c>
      <c r="J153" t="s">
        <v>51</v>
      </c>
      <c r="K153">
        <v>2</v>
      </c>
      <c r="L153">
        <v>1.9</v>
      </c>
      <c r="M153" t="s">
        <v>52</v>
      </c>
      <c r="N153" t="s">
        <v>420</v>
      </c>
      <c r="O153">
        <v>74</v>
      </c>
      <c r="P153" t="s">
        <v>53</v>
      </c>
      <c r="Q153" s="20">
        <f>IF(tblStudyData[[#This Row],[Attendence_Status]]="Present",100%,IF(tblStudyData[[#This Row],[Attendence_Status]]="Late",80%,IF(tblStudyData[[#This Row],[Attendence_Status]]="Absent",0%,"")))</f>
        <v>1</v>
      </c>
      <c r="R153" t="s">
        <v>55</v>
      </c>
      <c r="S153" t="s">
        <v>59</v>
      </c>
      <c r="T153" t="s">
        <v>93</v>
      </c>
      <c r="U153" t="s">
        <v>411</v>
      </c>
      <c r="V153">
        <f>WEEKNUM(tblStudyData[[#This Row],[Date]],2)</f>
        <v>33</v>
      </c>
    </row>
    <row r="154" spans="1:22" x14ac:dyDescent="0.3">
      <c r="A154" t="s">
        <v>254</v>
      </c>
      <c r="B154" s="5">
        <v>46250</v>
      </c>
      <c r="C154" t="s">
        <v>68</v>
      </c>
      <c r="D154" t="str">
        <f>_xlfn.XLOOKUP(tblStudyData[[#This Row],[Student_ID]],tblStudents[Student_ID],tblStudents[Student_Name],"")</f>
        <v>Divya</v>
      </c>
      <c r="E154" t="str">
        <f>_xlfn.XLOOKUP(tblStudyData[[#This Row],[Student_ID]],tblStudents[Student_ID],tblStudents[Gender],"")</f>
        <v>Female</v>
      </c>
      <c r="F154">
        <f>_xlfn.XLOOKUP(tblStudyData[[#This Row],[Student_ID]],tblStudents[Student_ID],tblStudents[Grade],"")</f>
        <v>12</v>
      </c>
      <c r="G154" t="str">
        <f>_xlfn.XLOOKUP(tblStudyData[[#This Row],[Student_ID]],tblStudents[Student_ID],tblStudents[Class],"")</f>
        <v>B</v>
      </c>
      <c r="H154" t="s">
        <v>86</v>
      </c>
      <c r="I154" t="s">
        <v>113</v>
      </c>
      <c r="J154" t="s">
        <v>51</v>
      </c>
      <c r="K154">
        <v>4</v>
      </c>
      <c r="L154">
        <v>3.7</v>
      </c>
      <c r="M154" t="s">
        <v>52</v>
      </c>
      <c r="N154" t="s">
        <v>420</v>
      </c>
      <c r="O154">
        <v>79</v>
      </c>
      <c r="P154" t="s">
        <v>53</v>
      </c>
      <c r="Q154" s="20">
        <f>IF(tblStudyData[[#This Row],[Attendence_Status]]="Present",100%,IF(tblStudyData[[#This Row],[Attendence_Status]]="Late",80%,IF(tblStudyData[[#This Row],[Attendence_Status]]="Absent",0%,"")))</f>
        <v>1</v>
      </c>
      <c r="R154" t="s">
        <v>54</v>
      </c>
      <c r="S154" t="s">
        <v>60</v>
      </c>
      <c r="T154" t="s">
        <v>93</v>
      </c>
      <c r="U154" t="s">
        <v>411</v>
      </c>
      <c r="V154">
        <f>WEEKNUM(tblStudyData[[#This Row],[Date]],2)</f>
        <v>33</v>
      </c>
    </row>
    <row r="155" spans="1:22" x14ac:dyDescent="0.3">
      <c r="A155" t="s">
        <v>255</v>
      </c>
      <c r="B155" s="5">
        <v>46256</v>
      </c>
      <c r="C155" t="s">
        <v>28</v>
      </c>
      <c r="D155" t="str">
        <f>_xlfn.XLOOKUP(tblStudyData[[#This Row],[Student_ID]],tblStudents[Student_ID],tblStudents[Student_Name],"")</f>
        <v>Arjun</v>
      </c>
      <c r="E155" t="str">
        <f>_xlfn.XLOOKUP(tblStudyData[[#This Row],[Student_ID]],tblStudents[Student_ID],tblStudents[Gender],"")</f>
        <v>Male</v>
      </c>
      <c r="F155">
        <f>_xlfn.XLOOKUP(tblStudyData[[#This Row],[Student_ID]],tblStudents[Student_ID],tblStudents[Grade],"")</f>
        <v>11</v>
      </c>
      <c r="G155" t="str">
        <f>_xlfn.XLOOKUP(tblStudyData[[#This Row],[Student_ID]],tblStudents[Student_ID],tblStudents[Class],"")</f>
        <v>B</v>
      </c>
      <c r="H155" t="s">
        <v>40</v>
      </c>
      <c r="I155" t="s">
        <v>113</v>
      </c>
      <c r="J155" t="s">
        <v>50</v>
      </c>
      <c r="K155">
        <v>1</v>
      </c>
      <c r="L155">
        <v>0.7</v>
      </c>
      <c r="M155" t="s">
        <v>52</v>
      </c>
      <c r="N155" t="s">
        <v>420</v>
      </c>
      <c r="O155">
        <v>78</v>
      </c>
      <c r="P155" t="s">
        <v>53</v>
      </c>
      <c r="Q155" s="20">
        <f>IF(tblStudyData[[#This Row],[Attendence_Status]]="Present",100%,IF(tblStudyData[[#This Row],[Attendence_Status]]="Late",80%,IF(tblStudyData[[#This Row],[Attendence_Status]]="Absent",0%,"")))</f>
        <v>1</v>
      </c>
      <c r="R155" t="s">
        <v>54</v>
      </c>
      <c r="S155" t="s">
        <v>60</v>
      </c>
      <c r="T155" t="s">
        <v>63</v>
      </c>
      <c r="U155" t="s">
        <v>411</v>
      </c>
      <c r="V155">
        <f>WEEKNUM(tblStudyData[[#This Row],[Date]],2)</f>
        <v>34</v>
      </c>
    </row>
    <row r="156" spans="1:22" x14ac:dyDescent="0.3">
      <c r="A156" t="s">
        <v>256</v>
      </c>
      <c r="B156" s="5">
        <v>46252</v>
      </c>
      <c r="C156" t="s">
        <v>27</v>
      </c>
      <c r="D156" t="str">
        <f>_xlfn.XLOOKUP(tblStudyData[[#This Row],[Student_ID]],tblStudents[Student_ID],tblStudents[Student_Name],"")</f>
        <v>Priya</v>
      </c>
      <c r="E156" t="str">
        <f>_xlfn.XLOOKUP(tblStudyData[[#This Row],[Student_ID]],tblStudents[Student_ID],tblStudents[Gender],"")</f>
        <v>Female</v>
      </c>
      <c r="F156">
        <f>_xlfn.XLOOKUP(tblStudyData[[#This Row],[Student_ID]],tblStudents[Student_ID],tblStudents[Grade],"")</f>
        <v>10</v>
      </c>
      <c r="G156" t="str">
        <f>_xlfn.XLOOKUP(tblStudyData[[#This Row],[Student_ID]],tblStudents[Student_ID],tblStudents[Class],"")</f>
        <v>A</v>
      </c>
      <c r="H156" t="s">
        <v>40</v>
      </c>
      <c r="I156" t="s">
        <v>113</v>
      </c>
      <c r="J156" t="s">
        <v>88</v>
      </c>
      <c r="K156">
        <v>1</v>
      </c>
      <c r="L156">
        <v>0.9</v>
      </c>
      <c r="M156" t="s">
        <v>52</v>
      </c>
      <c r="N156" t="s">
        <v>420</v>
      </c>
      <c r="O156">
        <v>86</v>
      </c>
      <c r="P156" t="s">
        <v>412</v>
      </c>
      <c r="Q156" s="20">
        <v>0.78</v>
      </c>
      <c r="R156" t="s">
        <v>54</v>
      </c>
      <c r="S156" t="s">
        <v>90</v>
      </c>
      <c r="T156" t="s">
        <v>61</v>
      </c>
      <c r="U156" t="s">
        <v>413</v>
      </c>
      <c r="V156">
        <f>WEEKNUM(tblStudyData[[#This Row],[Date]],2)</f>
        <v>34</v>
      </c>
    </row>
    <row r="157" spans="1:22" x14ac:dyDescent="0.3">
      <c r="A157" t="s">
        <v>257</v>
      </c>
      <c r="B157" s="5">
        <v>46254</v>
      </c>
      <c r="C157" t="s">
        <v>28</v>
      </c>
      <c r="D157" t="str">
        <f>_xlfn.XLOOKUP(tblStudyData[[#This Row],[Student_ID]],tblStudents[Student_ID],tblStudents[Student_Name],"")</f>
        <v>Arjun</v>
      </c>
      <c r="E157" t="str">
        <f>_xlfn.XLOOKUP(tblStudyData[[#This Row],[Student_ID]],tblStudents[Student_ID],tblStudents[Gender],"")</f>
        <v>Male</v>
      </c>
      <c r="F157">
        <f>_xlfn.XLOOKUP(tblStudyData[[#This Row],[Student_ID]],tblStudents[Student_ID],tblStudents[Grade],"")</f>
        <v>11</v>
      </c>
      <c r="G157" t="str">
        <f>_xlfn.XLOOKUP(tblStudyData[[#This Row],[Student_ID]],tblStudents[Student_ID],tblStudents[Class],"")</f>
        <v>B</v>
      </c>
      <c r="H157" t="s">
        <v>40</v>
      </c>
      <c r="I157" t="s">
        <v>113</v>
      </c>
      <c r="J157" t="s">
        <v>88</v>
      </c>
      <c r="K157">
        <v>4</v>
      </c>
      <c r="L157">
        <v>3.3</v>
      </c>
      <c r="M157" t="s">
        <v>52</v>
      </c>
      <c r="N157" t="s">
        <v>420</v>
      </c>
      <c r="O157">
        <v>76</v>
      </c>
      <c r="P157" t="s">
        <v>412</v>
      </c>
      <c r="Q157" s="20">
        <v>1</v>
      </c>
      <c r="R157" t="s">
        <v>55</v>
      </c>
      <c r="S157" t="s">
        <v>57</v>
      </c>
      <c r="T157" t="s">
        <v>93</v>
      </c>
      <c r="U157" t="s">
        <v>413</v>
      </c>
      <c r="V157">
        <f>WEEKNUM(tblStudyData[[#This Row],[Date]],2)</f>
        <v>34</v>
      </c>
    </row>
    <row r="158" spans="1:22" x14ac:dyDescent="0.3">
      <c r="A158" t="s">
        <v>258</v>
      </c>
      <c r="B158" s="5">
        <v>46257</v>
      </c>
      <c r="C158" t="s">
        <v>72</v>
      </c>
      <c r="D158" t="str">
        <f>_xlfn.XLOOKUP(tblStudyData[[#This Row],[Student_ID]],tblStudents[Student_ID],tblStudents[Student_Name],"")</f>
        <v>Pooja</v>
      </c>
      <c r="E158" t="str">
        <f>_xlfn.XLOOKUP(tblStudyData[[#This Row],[Student_ID]],tblStudents[Student_ID],tblStudents[Gender],"")</f>
        <v>Female</v>
      </c>
      <c r="F158">
        <f>_xlfn.XLOOKUP(tblStudyData[[#This Row],[Student_ID]],tblStudents[Student_ID],tblStudents[Grade],"")</f>
        <v>12</v>
      </c>
      <c r="G158" t="str">
        <f>_xlfn.XLOOKUP(tblStudyData[[#This Row],[Student_ID]],tblStudents[Student_ID],tblStudents[Class],"")</f>
        <v>A</v>
      </c>
      <c r="H158" t="s">
        <v>86</v>
      </c>
      <c r="I158" t="s">
        <v>113</v>
      </c>
      <c r="J158" t="s">
        <v>50</v>
      </c>
      <c r="K158">
        <v>1</v>
      </c>
      <c r="L158">
        <v>1</v>
      </c>
      <c r="M158" t="s">
        <v>52</v>
      </c>
      <c r="N158" t="s">
        <v>420</v>
      </c>
      <c r="O158">
        <v>81</v>
      </c>
      <c r="P158" t="s">
        <v>412</v>
      </c>
      <c r="Q158" s="20">
        <v>0.88</v>
      </c>
      <c r="R158" t="s">
        <v>54</v>
      </c>
      <c r="S158" t="s">
        <v>91</v>
      </c>
      <c r="T158" t="s">
        <v>64</v>
      </c>
      <c r="U158" t="s">
        <v>413</v>
      </c>
      <c r="V158">
        <f>WEEKNUM(tblStudyData[[#This Row],[Date]],2)</f>
        <v>34</v>
      </c>
    </row>
    <row r="159" spans="1:22" x14ac:dyDescent="0.3">
      <c r="A159" t="s">
        <v>259</v>
      </c>
      <c r="B159" s="5">
        <v>46256</v>
      </c>
      <c r="C159" t="s">
        <v>28</v>
      </c>
      <c r="D159" t="str">
        <f>_xlfn.XLOOKUP(tblStudyData[[#This Row],[Student_ID]],tblStudents[Student_ID],tblStudents[Student_Name],"")</f>
        <v>Arjun</v>
      </c>
      <c r="E159" t="str">
        <f>_xlfn.XLOOKUP(tblStudyData[[#This Row],[Student_ID]],tblStudents[Student_ID],tblStudents[Gender],"")</f>
        <v>Male</v>
      </c>
      <c r="F159">
        <f>_xlfn.XLOOKUP(tblStudyData[[#This Row],[Student_ID]],tblStudents[Student_ID],tblStudents[Grade],"")</f>
        <v>11</v>
      </c>
      <c r="G159" t="str">
        <f>_xlfn.XLOOKUP(tblStudyData[[#This Row],[Student_ID]],tblStudents[Student_ID],tblStudents[Class],"")</f>
        <v>B</v>
      </c>
      <c r="H159" t="s">
        <v>40</v>
      </c>
      <c r="I159" t="s">
        <v>113</v>
      </c>
      <c r="J159" t="s">
        <v>51</v>
      </c>
      <c r="K159">
        <v>3</v>
      </c>
      <c r="L159">
        <v>2.2000000000000002</v>
      </c>
      <c r="M159" t="s">
        <v>52</v>
      </c>
      <c r="N159" t="s">
        <v>420</v>
      </c>
      <c r="O159">
        <v>79</v>
      </c>
      <c r="P159" t="s">
        <v>53</v>
      </c>
      <c r="Q159" s="20">
        <f>IF(tblStudyData[[#This Row],[Attendence_Status]]="Present",100%,IF(tblStudyData[[#This Row],[Attendence_Status]]="Late",80%,IF(tblStudyData[[#This Row],[Attendence_Status]]="Absent",0%,"")))</f>
        <v>1</v>
      </c>
      <c r="R159" t="s">
        <v>55</v>
      </c>
      <c r="S159" t="s">
        <v>91</v>
      </c>
      <c r="T159" t="s">
        <v>62</v>
      </c>
      <c r="U159" t="s">
        <v>411</v>
      </c>
      <c r="V159">
        <f>WEEKNUM(tblStudyData[[#This Row],[Date]],2)</f>
        <v>34</v>
      </c>
    </row>
    <row r="160" spans="1:22" x14ac:dyDescent="0.3">
      <c r="A160" t="s">
        <v>260</v>
      </c>
      <c r="B160" s="5">
        <v>46240</v>
      </c>
      <c r="C160" t="s">
        <v>71</v>
      </c>
      <c r="D160" t="str">
        <f>_xlfn.XLOOKUP(tblStudyData[[#This Row],[Student_ID]],tblStudents[Student_ID],tblStudents[Student_Name],"")</f>
        <v>Sai</v>
      </c>
      <c r="E160" t="str">
        <f>_xlfn.XLOOKUP(tblStudyData[[#This Row],[Student_ID]],tblStudents[Student_ID],tblStudents[Gender],"")</f>
        <v>Male</v>
      </c>
      <c r="F160">
        <f>_xlfn.XLOOKUP(tblStudyData[[#This Row],[Student_ID]],tblStudents[Student_ID],tblStudents[Grade],"")</f>
        <v>9</v>
      </c>
      <c r="G160" t="str">
        <f>_xlfn.XLOOKUP(tblStudyData[[#This Row],[Student_ID]],tblStudents[Student_ID],tblStudents[Class],"")</f>
        <v>B</v>
      </c>
      <c r="H160" t="s">
        <v>40</v>
      </c>
      <c r="I160" t="s">
        <v>113</v>
      </c>
      <c r="J160" t="s">
        <v>50</v>
      </c>
      <c r="K160">
        <v>1</v>
      </c>
      <c r="L160">
        <v>0.9</v>
      </c>
      <c r="M160" t="s">
        <v>52</v>
      </c>
      <c r="N160" t="s">
        <v>420</v>
      </c>
      <c r="O160">
        <v>84</v>
      </c>
      <c r="P160" t="s">
        <v>53</v>
      </c>
      <c r="Q160" s="20">
        <f>IF(tblStudyData[[#This Row],[Attendence_Status]]="Present",100%,IF(tblStudyData[[#This Row],[Attendence_Status]]="Late",80%,IF(tblStudyData[[#This Row],[Attendence_Status]]="Absent",0%,"")))</f>
        <v>1</v>
      </c>
      <c r="R160" t="s">
        <v>54</v>
      </c>
      <c r="S160" t="s">
        <v>60</v>
      </c>
      <c r="T160" t="s">
        <v>62</v>
      </c>
      <c r="U160" t="s">
        <v>410</v>
      </c>
      <c r="V160">
        <f>WEEKNUM(tblStudyData[[#This Row],[Date]],2)</f>
        <v>32</v>
      </c>
    </row>
    <row r="161" spans="1:22" x14ac:dyDescent="0.3">
      <c r="A161" t="s">
        <v>261</v>
      </c>
      <c r="B161" s="5">
        <v>46236</v>
      </c>
      <c r="C161" t="s">
        <v>72</v>
      </c>
      <c r="D161" t="str">
        <f>_xlfn.XLOOKUP(tblStudyData[[#This Row],[Student_ID]],tblStudents[Student_ID],tblStudents[Student_Name],"")</f>
        <v>Pooja</v>
      </c>
      <c r="E161" t="str">
        <f>_xlfn.XLOOKUP(tblStudyData[[#This Row],[Student_ID]],tblStudents[Student_ID],tblStudents[Gender],"")</f>
        <v>Female</v>
      </c>
      <c r="F161">
        <f>_xlfn.XLOOKUP(tblStudyData[[#This Row],[Student_ID]],tblStudents[Student_ID],tblStudents[Grade],"")</f>
        <v>12</v>
      </c>
      <c r="G161" t="str">
        <f>_xlfn.XLOOKUP(tblStudyData[[#This Row],[Student_ID]],tblStudents[Student_ID],tblStudents[Class],"")</f>
        <v>A</v>
      </c>
      <c r="H161" t="s">
        <v>40</v>
      </c>
      <c r="I161" t="s">
        <v>113</v>
      </c>
      <c r="J161" t="s">
        <v>51</v>
      </c>
      <c r="K161">
        <v>1</v>
      </c>
      <c r="L161">
        <v>0.8</v>
      </c>
      <c r="M161" t="s">
        <v>52</v>
      </c>
      <c r="N161" t="s">
        <v>420</v>
      </c>
      <c r="O161">
        <v>94</v>
      </c>
      <c r="P161" t="s">
        <v>53</v>
      </c>
      <c r="Q161" s="20">
        <f>IF(tblStudyData[[#This Row],[Attendence_Status]]="Present",100%,IF(tblStudyData[[#This Row],[Attendence_Status]]="Late",80%,IF(tblStudyData[[#This Row],[Attendence_Status]]="Absent",0%,"")))</f>
        <v>1</v>
      </c>
      <c r="R161" t="s">
        <v>54</v>
      </c>
      <c r="S161" t="s">
        <v>90</v>
      </c>
      <c r="T161" t="s">
        <v>93</v>
      </c>
      <c r="U161" t="s">
        <v>414</v>
      </c>
      <c r="V161">
        <f>WEEKNUM(tblStudyData[[#This Row],[Date]],2)</f>
        <v>31</v>
      </c>
    </row>
    <row r="162" spans="1:22" x14ac:dyDescent="0.3">
      <c r="A162" t="s">
        <v>262</v>
      </c>
      <c r="B162" s="5">
        <v>46248</v>
      </c>
      <c r="C162" t="s">
        <v>69</v>
      </c>
      <c r="D162" t="str">
        <f>_xlfn.XLOOKUP(tblStudyData[[#This Row],[Student_ID]],tblStudents[Student_ID],tblStudents[Student_Name],"")</f>
        <v>Vikaram</v>
      </c>
      <c r="E162" t="str">
        <f>_xlfn.XLOOKUP(tblStudyData[[#This Row],[Student_ID]],tblStudents[Student_ID],tblStudents[Gender],"")</f>
        <v>Male</v>
      </c>
      <c r="F162">
        <f>_xlfn.XLOOKUP(tblStudyData[[#This Row],[Student_ID]],tblStudents[Student_ID],tblStudents[Grade],"")</f>
        <v>10</v>
      </c>
      <c r="G162" t="str">
        <f>_xlfn.XLOOKUP(tblStudyData[[#This Row],[Student_ID]],tblStudents[Student_ID],tblStudents[Class],"")</f>
        <v>B</v>
      </c>
      <c r="H162" t="s">
        <v>40</v>
      </c>
      <c r="I162" t="s">
        <v>113</v>
      </c>
      <c r="J162" t="s">
        <v>50</v>
      </c>
      <c r="K162">
        <v>3</v>
      </c>
      <c r="L162">
        <v>2.2999999999999998</v>
      </c>
      <c r="M162" t="s">
        <v>52</v>
      </c>
      <c r="N162" t="s">
        <v>420</v>
      </c>
      <c r="O162">
        <v>83</v>
      </c>
      <c r="P162" t="s">
        <v>412</v>
      </c>
      <c r="Q162" s="20">
        <v>0.88</v>
      </c>
      <c r="R162" t="s">
        <v>54</v>
      </c>
      <c r="S162" t="s">
        <v>57</v>
      </c>
      <c r="T162" t="s">
        <v>64</v>
      </c>
      <c r="U162" t="s">
        <v>413</v>
      </c>
      <c r="V162">
        <f>WEEKNUM(tblStudyData[[#This Row],[Date]],2)</f>
        <v>33</v>
      </c>
    </row>
    <row r="163" spans="1:22" x14ac:dyDescent="0.3">
      <c r="A163" t="s">
        <v>263</v>
      </c>
      <c r="B163" s="5">
        <v>46260</v>
      </c>
      <c r="C163" t="s">
        <v>71</v>
      </c>
      <c r="D163" t="str">
        <f>_xlfn.XLOOKUP(tblStudyData[[#This Row],[Student_ID]],tblStudents[Student_ID],tblStudents[Student_Name],"")</f>
        <v>Sai</v>
      </c>
      <c r="E163" t="str">
        <f>_xlfn.XLOOKUP(tblStudyData[[#This Row],[Student_ID]],tblStudents[Student_ID],tblStudents[Gender],"")</f>
        <v>Male</v>
      </c>
      <c r="F163">
        <f>_xlfn.XLOOKUP(tblStudyData[[#This Row],[Student_ID]],tblStudents[Student_ID],tblStudents[Grade],"")</f>
        <v>9</v>
      </c>
      <c r="G163" t="str">
        <f>_xlfn.XLOOKUP(tblStudyData[[#This Row],[Student_ID]],tblStudents[Student_ID],tblStudents[Class],"")</f>
        <v>B</v>
      </c>
      <c r="H163" t="s">
        <v>43</v>
      </c>
      <c r="I163" t="s">
        <v>113</v>
      </c>
      <c r="J163" t="s">
        <v>50</v>
      </c>
      <c r="K163">
        <v>1</v>
      </c>
      <c r="L163">
        <v>0.8</v>
      </c>
      <c r="M163" t="s">
        <v>52</v>
      </c>
      <c r="N163" t="s">
        <v>420</v>
      </c>
      <c r="O163">
        <v>80</v>
      </c>
      <c r="P163" t="s">
        <v>53</v>
      </c>
      <c r="Q163" s="20">
        <f>IF(tblStudyData[[#This Row],[Attendence_Status]]="Present",100%,IF(tblStudyData[[#This Row],[Attendence_Status]]="Late",80%,IF(tblStudyData[[#This Row],[Attendence_Status]]="Absent",0%,"")))</f>
        <v>1</v>
      </c>
      <c r="R163" t="s">
        <v>54</v>
      </c>
      <c r="S163" t="s">
        <v>90</v>
      </c>
      <c r="T163" t="s">
        <v>93</v>
      </c>
      <c r="U163" t="s">
        <v>410</v>
      </c>
      <c r="V163">
        <f>WEEKNUM(tblStudyData[[#This Row],[Date]],2)</f>
        <v>35</v>
      </c>
    </row>
    <row r="164" spans="1:22" x14ac:dyDescent="0.3">
      <c r="A164" t="s">
        <v>264</v>
      </c>
      <c r="B164" s="5">
        <v>46238</v>
      </c>
      <c r="C164" t="s">
        <v>67</v>
      </c>
      <c r="D164" t="str">
        <f>_xlfn.XLOOKUP(tblStudyData[[#This Row],[Student_ID]],tblStudents[Student_ID],tblStudents[Student_Name],"")</f>
        <v>Rohit</v>
      </c>
      <c r="E164" t="str">
        <f>_xlfn.XLOOKUP(tblStudyData[[#This Row],[Student_ID]],tblStudents[Student_ID],tblStudents[Gender],"")</f>
        <v>Male</v>
      </c>
      <c r="F164">
        <f>_xlfn.XLOOKUP(tblStudyData[[#This Row],[Student_ID]],tblStudents[Student_ID],tblStudents[Grade],"")</f>
        <v>9</v>
      </c>
      <c r="G164" t="str">
        <f>_xlfn.XLOOKUP(tblStudyData[[#This Row],[Student_ID]],tblStudents[Student_ID],tblStudents[Class],"")</f>
        <v>A</v>
      </c>
      <c r="H164" t="s">
        <v>43</v>
      </c>
      <c r="I164" t="s">
        <v>113</v>
      </c>
      <c r="J164" t="s">
        <v>51</v>
      </c>
      <c r="K164">
        <v>3</v>
      </c>
      <c r="L164">
        <v>2.1</v>
      </c>
      <c r="M164" t="s">
        <v>52</v>
      </c>
      <c r="N164" t="s">
        <v>420</v>
      </c>
      <c r="O164">
        <v>80</v>
      </c>
      <c r="P164" t="s">
        <v>412</v>
      </c>
      <c r="Q164" s="20">
        <v>0.92</v>
      </c>
      <c r="R164" t="s">
        <v>56</v>
      </c>
      <c r="S164" t="s">
        <v>58</v>
      </c>
      <c r="T164" t="s">
        <v>61</v>
      </c>
      <c r="U164" t="s">
        <v>413</v>
      </c>
      <c r="V164">
        <f>WEEKNUM(tblStudyData[[#This Row],[Date]],2)</f>
        <v>32</v>
      </c>
    </row>
    <row r="165" spans="1:22" x14ac:dyDescent="0.3">
      <c r="A165" t="s">
        <v>265</v>
      </c>
      <c r="B165" s="5">
        <v>46258</v>
      </c>
      <c r="C165" t="s">
        <v>70</v>
      </c>
      <c r="D165" t="str">
        <f>_xlfn.XLOOKUP(tblStudyData[[#This Row],[Student_ID]],tblStudents[Student_ID],tblStudents[Student_Name],"")</f>
        <v>Neha</v>
      </c>
      <c r="E165" t="str">
        <f>_xlfn.XLOOKUP(tblStudyData[[#This Row],[Student_ID]],tblStudents[Student_ID],tblStudents[Gender],"")</f>
        <v>Female</v>
      </c>
      <c r="F165">
        <f>_xlfn.XLOOKUP(tblStudyData[[#This Row],[Student_ID]],tblStudents[Student_ID],tblStudents[Grade],"")</f>
        <v>11</v>
      </c>
      <c r="G165" t="str">
        <f>_xlfn.XLOOKUP(tblStudyData[[#This Row],[Student_ID]],tblStudents[Student_ID],tblStudents[Class],"")</f>
        <v>B</v>
      </c>
      <c r="H165" t="s">
        <v>43</v>
      </c>
      <c r="I165" t="s">
        <v>113</v>
      </c>
      <c r="J165" t="s">
        <v>51</v>
      </c>
      <c r="K165">
        <v>3</v>
      </c>
      <c r="L165">
        <v>2.6</v>
      </c>
      <c r="M165" t="s">
        <v>52</v>
      </c>
      <c r="N165" t="s">
        <v>420</v>
      </c>
      <c r="O165">
        <v>83</v>
      </c>
      <c r="P165" t="s">
        <v>53</v>
      </c>
      <c r="Q165" s="20">
        <f>IF(tblStudyData[[#This Row],[Attendence_Status]]="Present",100%,IF(tblStudyData[[#This Row],[Attendence_Status]]="Late",80%,IF(tblStudyData[[#This Row],[Attendence_Status]]="Absent",0%,"")))</f>
        <v>1</v>
      </c>
      <c r="R165" t="s">
        <v>56</v>
      </c>
      <c r="S165" t="s">
        <v>90</v>
      </c>
      <c r="T165" t="s">
        <v>62</v>
      </c>
      <c r="U165" t="s">
        <v>410</v>
      </c>
      <c r="V165">
        <f>WEEKNUM(tblStudyData[[#This Row],[Date]],2)</f>
        <v>35</v>
      </c>
    </row>
    <row r="166" spans="1:22" x14ac:dyDescent="0.3">
      <c r="A166" t="s">
        <v>266</v>
      </c>
      <c r="B166" s="5">
        <v>46235</v>
      </c>
      <c r="C166" t="s">
        <v>75</v>
      </c>
      <c r="D166" t="str">
        <f>_xlfn.XLOOKUP(tblStudyData[[#This Row],[Student_ID]],tblStudents[Student_ID],tblStudents[Student_Name],"")</f>
        <v>Akhil</v>
      </c>
      <c r="E166" t="str">
        <f>_xlfn.XLOOKUP(tblStudyData[[#This Row],[Student_ID]],tblStudents[Student_ID],tblStudents[Gender],"")</f>
        <v>Male</v>
      </c>
      <c r="F166">
        <f>_xlfn.XLOOKUP(tblStudyData[[#This Row],[Student_ID]],tblStudents[Student_ID],tblStudents[Grade],"")</f>
        <v>9</v>
      </c>
      <c r="G166" t="str">
        <f>_xlfn.XLOOKUP(tblStudyData[[#This Row],[Student_ID]],tblStudents[Student_ID],tblStudents[Class],"")</f>
        <v>A</v>
      </c>
      <c r="H166" t="s">
        <v>43</v>
      </c>
      <c r="I166" t="s">
        <v>113</v>
      </c>
      <c r="J166" t="s">
        <v>51</v>
      </c>
      <c r="K166">
        <v>3</v>
      </c>
      <c r="L166">
        <v>3</v>
      </c>
      <c r="M166" t="s">
        <v>52</v>
      </c>
      <c r="N166" t="s">
        <v>420</v>
      </c>
      <c r="O166">
        <v>86</v>
      </c>
      <c r="P166" t="s">
        <v>412</v>
      </c>
      <c r="Q166" s="20">
        <v>0.78</v>
      </c>
      <c r="R166" t="s">
        <v>56</v>
      </c>
      <c r="S166" t="s">
        <v>59</v>
      </c>
      <c r="T166" t="s">
        <v>65</v>
      </c>
      <c r="U166" t="s">
        <v>413</v>
      </c>
      <c r="V166">
        <f>WEEKNUM(tblStudyData[[#This Row],[Date]],2)</f>
        <v>31</v>
      </c>
    </row>
    <row r="167" spans="1:22" x14ac:dyDescent="0.3">
      <c r="A167" t="s">
        <v>267</v>
      </c>
      <c r="B167" s="5">
        <v>46249</v>
      </c>
      <c r="C167" t="s">
        <v>70</v>
      </c>
      <c r="D167" t="str">
        <f>_xlfn.XLOOKUP(tblStudyData[[#This Row],[Student_ID]],tblStudents[Student_ID],tblStudents[Student_Name],"")</f>
        <v>Neha</v>
      </c>
      <c r="E167" t="str">
        <f>_xlfn.XLOOKUP(tblStudyData[[#This Row],[Student_ID]],tblStudents[Student_ID],tblStudents[Gender],"")</f>
        <v>Female</v>
      </c>
      <c r="F167">
        <f>_xlfn.XLOOKUP(tblStudyData[[#This Row],[Student_ID]],tblStudents[Student_ID],tblStudents[Grade],"")</f>
        <v>11</v>
      </c>
      <c r="G167" t="str">
        <f>_xlfn.XLOOKUP(tblStudyData[[#This Row],[Student_ID]],tblStudents[Student_ID],tblStudents[Class],"")</f>
        <v>B</v>
      </c>
      <c r="H167" t="s">
        <v>43</v>
      </c>
      <c r="I167" t="s">
        <v>113</v>
      </c>
      <c r="J167" t="s">
        <v>50</v>
      </c>
      <c r="K167">
        <v>3</v>
      </c>
      <c r="L167">
        <v>2.8</v>
      </c>
      <c r="M167" t="s">
        <v>52</v>
      </c>
      <c r="N167" t="s">
        <v>420</v>
      </c>
      <c r="O167">
        <v>90</v>
      </c>
      <c r="P167" t="s">
        <v>53</v>
      </c>
      <c r="Q167" s="20">
        <f>IF(tblStudyData[[#This Row],[Attendence_Status]]="Present",100%,IF(tblStudyData[[#This Row],[Attendence_Status]]="Late",80%,IF(tblStudyData[[#This Row],[Attendence_Status]]="Absent",0%,"")))</f>
        <v>1</v>
      </c>
      <c r="R167" t="s">
        <v>55</v>
      </c>
      <c r="S167" t="s">
        <v>90</v>
      </c>
      <c r="T167" t="s">
        <v>61</v>
      </c>
      <c r="U167" t="s">
        <v>414</v>
      </c>
      <c r="V167">
        <f>WEEKNUM(tblStudyData[[#This Row],[Date]],2)</f>
        <v>33</v>
      </c>
    </row>
    <row r="168" spans="1:22" x14ac:dyDescent="0.3">
      <c r="A168" t="s">
        <v>268</v>
      </c>
      <c r="B168" s="5">
        <v>46252</v>
      </c>
      <c r="C168" t="s">
        <v>75</v>
      </c>
      <c r="D168" t="str">
        <f>_xlfn.XLOOKUP(tblStudyData[[#This Row],[Student_ID]],tblStudents[Student_ID],tblStudents[Student_Name],"")</f>
        <v>Akhil</v>
      </c>
      <c r="E168" t="str">
        <f>_xlfn.XLOOKUP(tblStudyData[[#This Row],[Student_ID]],tblStudents[Student_ID],tblStudents[Gender],"")</f>
        <v>Male</v>
      </c>
      <c r="F168">
        <f>_xlfn.XLOOKUP(tblStudyData[[#This Row],[Student_ID]],tblStudents[Student_ID],tblStudents[Grade],"")</f>
        <v>9</v>
      </c>
      <c r="G168" t="str">
        <f>_xlfn.XLOOKUP(tblStudyData[[#This Row],[Student_ID]],tblStudents[Student_ID],tblStudents[Class],"")</f>
        <v>A</v>
      </c>
      <c r="H168" t="s">
        <v>43</v>
      </c>
      <c r="I168" t="s">
        <v>113</v>
      </c>
      <c r="J168" t="s">
        <v>88</v>
      </c>
      <c r="K168">
        <v>4</v>
      </c>
      <c r="L168">
        <v>3.2</v>
      </c>
      <c r="M168" t="s">
        <v>52</v>
      </c>
      <c r="N168" t="s">
        <v>420</v>
      </c>
      <c r="O168">
        <v>94</v>
      </c>
      <c r="P168" t="s">
        <v>412</v>
      </c>
      <c r="Q168" s="20">
        <v>0.78</v>
      </c>
      <c r="R168" t="s">
        <v>54</v>
      </c>
      <c r="S168" t="s">
        <v>58</v>
      </c>
      <c r="T168" t="s">
        <v>65</v>
      </c>
      <c r="U168" t="s">
        <v>413</v>
      </c>
      <c r="V168">
        <f>WEEKNUM(tblStudyData[[#This Row],[Date]],2)</f>
        <v>34</v>
      </c>
    </row>
    <row r="169" spans="1:22" x14ac:dyDescent="0.3">
      <c r="A169" t="s">
        <v>269</v>
      </c>
      <c r="B169" s="5">
        <v>46259</v>
      </c>
      <c r="C169" t="s">
        <v>68</v>
      </c>
      <c r="D169" t="str">
        <f>_xlfn.XLOOKUP(tblStudyData[[#This Row],[Student_ID]],tblStudents[Student_ID],tblStudents[Student_Name],"")</f>
        <v>Divya</v>
      </c>
      <c r="E169" t="str">
        <f>_xlfn.XLOOKUP(tblStudyData[[#This Row],[Student_ID]],tblStudents[Student_ID],tblStudents[Gender],"")</f>
        <v>Female</v>
      </c>
      <c r="F169">
        <f>_xlfn.XLOOKUP(tblStudyData[[#This Row],[Student_ID]],tblStudents[Student_ID],tblStudents[Grade],"")</f>
        <v>12</v>
      </c>
      <c r="G169" t="str">
        <f>_xlfn.XLOOKUP(tblStudyData[[#This Row],[Student_ID]],tblStudents[Student_ID],tblStudents[Class],"")</f>
        <v>B</v>
      </c>
      <c r="H169" t="s">
        <v>43</v>
      </c>
      <c r="I169" t="s">
        <v>113</v>
      </c>
      <c r="J169" t="s">
        <v>49</v>
      </c>
      <c r="K169">
        <v>4</v>
      </c>
      <c r="L169">
        <v>3.4</v>
      </c>
      <c r="M169" t="s">
        <v>52</v>
      </c>
      <c r="N169" t="s">
        <v>420</v>
      </c>
      <c r="O169">
        <v>81</v>
      </c>
      <c r="P169" t="s">
        <v>412</v>
      </c>
      <c r="Q169" s="20">
        <v>0.76</v>
      </c>
      <c r="R169" t="s">
        <v>54</v>
      </c>
      <c r="S169" t="s">
        <v>91</v>
      </c>
      <c r="T169" t="s">
        <v>63</v>
      </c>
      <c r="U169" t="s">
        <v>413</v>
      </c>
      <c r="V169">
        <f>WEEKNUM(tblStudyData[[#This Row],[Date]],2)</f>
        <v>35</v>
      </c>
    </row>
    <row r="170" spans="1:22" x14ac:dyDescent="0.3">
      <c r="A170" t="s">
        <v>270</v>
      </c>
      <c r="B170" s="5">
        <v>46255</v>
      </c>
      <c r="C170" t="s">
        <v>75</v>
      </c>
      <c r="D170" t="str">
        <f>_xlfn.XLOOKUP(tblStudyData[[#This Row],[Student_ID]],tblStudents[Student_ID],tblStudents[Student_Name],"")</f>
        <v>Akhil</v>
      </c>
      <c r="E170" t="str">
        <f>_xlfn.XLOOKUP(tblStudyData[[#This Row],[Student_ID]],tblStudents[Student_ID],tblStudents[Gender],"")</f>
        <v>Male</v>
      </c>
      <c r="F170">
        <f>_xlfn.XLOOKUP(tblStudyData[[#This Row],[Student_ID]],tblStudents[Student_ID],tblStudents[Grade],"")</f>
        <v>9</v>
      </c>
      <c r="G170" t="str">
        <f>_xlfn.XLOOKUP(tblStudyData[[#This Row],[Student_ID]],tblStudents[Student_ID],tblStudents[Class],"")</f>
        <v>A</v>
      </c>
      <c r="H170" t="s">
        <v>86</v>
      </c>
      <c r="I170" t="s">
        <v>113</v>
      </c>
      <c r="J170" t="s">
        <v>50</v>
      </c>
      <c r="K170">
        <v>4</v>
      </c>
      <c r="L170">
        <v>3.6</v>
      </c>
      <c r="M170" t="s">
        <v>52</v>
      </c>
      <c r="N170" t="s">
        <v>420</v>
      </c>
      <c r="O170">
        <v>82</v>
      </c>
      <c r="P170" t="s">
        <v>53</v>
      </c>
      <c r="Q170" s="20">
        <f>IF(tblStudyData[[#This Row],[Attendence_Status]]="Present",100%,IF(tblStudyData[[#This Row],[Attendence_Status]]="Late",80%,IF(tblStudyData[[#This Row],[Attendence_Status]]="Absent",0%,"")))</f>
        <v>1</v>
      </c>
      <c r="R170" t="s">
        <v>54</v>
      </c>
      <c r="S170" t="s">
        <v>90</v>
      </c>
      <c r="T170" t="s">
        <v>93</v>
      </c>
      <c r="U170" t="s">
        <v>410</v>
      </c>
      <c r="V170">
        <f>WEEKNUM(tblStudyData[[#This Row],[Date]],2)</f>
        <v>34</v>
      </c>
    </row>
    <row r="171" spans="1:22" x14ac:dyDescent="0.3">
      <c r="A171" t="s">
        <v>271</v>
      </c>
      <c r="B171" s="5">
        <v>46240</v>
      </c>
      <c r="C171" t="s">
        <v>29</v>
      </c>
      <c r="D171" t="str">
        <f>_xlfn.XLOOKUP(tblStudyData[[#This Row],[Student_ID]],tblStudents[Student_ID],tblStudents[Student_Name],"")</f>
        <v>Sneha</v>
      </c>
      <c r="E171" t="str">
        <f>_xlfn.XLOOKUP(tblStudyData[[#This Row],[Student_ID]],tblStudents[Student_ID],tblStudents[Gender],"")</f>
        <v>Female</v>
      </c>
      <c r="F171">
        <f>_xlfn.XLOOKUP(tblStudyData[[#This Row],[Student_ID]],tblStudents[Student_ID],tblStudents[Grade],"")</f>
        <v>0</v>
      </c>
      <c r="G171" t="str">
        <f>_xlfn.XLOOKUP(tblStudyData[[#This Row],[Student_ID]],tblStudents[Student_ID],tblStudents[Class],"")</f>
        <v>B</v>
      </c>
      <c r="H171" t="s">
        <v>86</v>
      </c>
      <c r="I171" t="s">
        <v>113</v>
      </c>
      <c r="J171" t="s">
        <v>51</v>
      </c>
      <c r="K171">
        <v>4</v>
      </c>
      <c r="L171">
        <v>2.7</v>
      </c>
      <c r="M171" t="s">
        <v>52</v>
      </c>
      <c r="N171" t="s">
        <v>420</v>
      </c>
      <c r="O171">
        <v>70</v>
      </c>
      <c r="P171" t="s">
        <v>409</v>
      </c>
      <c r="Q171" s="20">
        <f>IF(tblStudyData[[#This Row],[Attendence_Status]]="Present",100%,IF(tblStudyData[[#This Row],[Attendence_Status]]="Late",80%,IF(tblStudyData[[#This Row],[Attendence_Status]]="Absent",0%,"")))</f>
        <v>0.8</v>
      </c>
      <c r="R171" t="s">
        <v>55</v>
      </c>
      <c r="S171" t="s">
        <v>90</v>
      </c>
      <c r="T171" t="s">
        <v>93</v>
      </c>
      <c r="U171" t="s">
        <v>411</v>
      </c>
      <c r="V171">
        <f>WEEKNUM(tblStudyData[[#This Row],[Date]],2)</f>
        <v>32</v>
      </c>
    </row>
    <row r="172" spans="1:22" x14ac:dyDescent="0.3">
      <c r="A172" t="s">
        <v>272</v>
      </c>
      <c r="B172" s="5">
        <v>46264</v>
      </c>
      <c r="C172" t="s">
        <v>27</v>
      </c>
      <c r="D172" t="str">
        <f>_xlfn.XLOOKUP(tblStudyData[[#This Row],[Student_ID]],tblStudents[Student_ID],tblStudents[Student_Name],"")</f>
        <v>Priya</v>
      </c>
      <c r="E172" t="str">
        <f>_xlfn.XLOOKUP(tblStudyData[[#This Row],[Student_ID]],tblStudents[Student_ID],tblStudents[Gender],"")</f>
        <v>Female</v>
      </c>
      <c r="F172">
        <f>_xlfn.XLOOKUP(tblStudyData[[#This Row],[Student_ID]],tblStudents[Student_ID],tblStudents[Grade],"")</f>
        <v>10</v>
      </c>
      <c r="G172" t="str">
        <f>_xlfn.XLOOKUP(tblStudyData[[#This Row],[Student_ID]],tblStudents[Student_ID],tblStudents[Class],"")</f>
        <v>A</v>
      </c>
      <c r="H172" t="s">
        <v>86</v>
      </c>
      <c r="I172" t="s">
        <v>113</v>
      </c>
      <c r="J172" t="s">
        <v>88</v>
      </c>
      <c r="K172">
        <v>3</v>
      </c>
      <c r="L172">
        <v>2</v>
      </c>
      <c r="M172" t="s">
        <v>52</v>
      </c>
      <c r="N172" t="s">
        <v>420</v>
      </c>
      <c r="O172">
        <v>78</v>
      </c>
      <c r="P172" t="s">
        <v>53</v>
      </c>
      <c r="Q172" s="20">
        <f>IF(tblStudyData[[#This Row],[Attendence_Status]]="Present",100%,IF(tblStudyData[[#This Row],[Attendence_Status]]="Late",80%,IF(tblStudyData[[#This Row],[Attendence_Status]]="Absent",0%,"")))</f>
        <v>1</v>
      </c>
      <c r="R172" t="s">
        <v>56</v>
      </c>
      <c r="S172" t="s">
        <v>57</v>
      </c>
      <c r="T172" t="s">
        <v>93</v>
      </c>
      <c r="U172" t="s">
        <v>411</v>
      </c>
      <c r="V172">
        <f>WEEKNUM(tblStudyData[[#This Row],[Date]],2)</f>
        <v>35</v>
      </c>
    </row>
    <row r="173" spans="1:22" x14ac:dyDescent="0.3">
      <c r="A173" t="s">
        <v>273</v>
      </c>
      <c r="B173" s="5">
        <v>46251</v>
      </c>
      <c r="C173" t="s">
        <v>26</v>
      </c>
      <c r="D173" t="str">
        <f>_xlfn.XLOOKUP(tblStudyData[[#This Row],[Student_ID]],tblStudents[Student_ID],tblStudents[Student_Name],"")</f>
        <v>Rahul</v>
      </c>
      <c r="E173" t="str">
        <f>_xlfn.XLOOKUP(tblStudyData[[#This Row],[Student_ID]],tblStudents[Student_ID],tblStudents[Gender],"")</f>
        <v>Male</v>
      </c>
      <c r="F173">
        <f>_xlfn.XLOOKUP(tblStudyData[[#This Row],[Student_ID]],tblStudents[Student_ID],tblStudents[Grade],"")</f>
        <v>10</v>
      </c>
      <c r="G173" t="str">
        <f>_xlfn.XLOOKUP(tblStudyData[[#This Row],[Student_ID]],tblStudents[Student_ID],tblStudents[Class],"")</f>
        <v>A</v>
      </c>
      <c r="H173" t="s">
        <v>86</v>
      </c>
      <c r="I173" t="s">
        <v>113</v>
      </c>
      <c r="J173" t="s">
        <v>88</v>
      </c>
      <c r="K173">
        <v>2</v>
      </c>
      <c r="L173">
        <v>1.8</v>
      </c>
      <c r="M173" t="s">
        <v>52</v>
      </c>
      <c r="N173" t="s">
        <v>420</v>
      </c>
      <c r="O173">
        <v>83</v>
      </c>
      <c r="P173" t="s">
        <v>53</v>
      </c>
      <c r="Q173" s="20">
        <f>IF(tblStudyData[[#This Row],[Attendence_Status]]="Present",100%,IF(tblStudyData[[#This Row],[Attendence_Status]]="Late",80%,IF(tblStudyData[[#This Row],[Attendence_Status]]="Absent",0%,"")))</f>
        <v>1</v>
      </c>
      <c r="R173" t="s">
        <v>54</v>
      </c>
      <c r="S173" t="s">
        <v>59</v>
      </c>
      <c r="T173" t="s">
        <v>62</v>
      </c>
      <c r="U173" t="s">
        <v>410</v>
      </c>
      <c r="V173">
        <f>WEEKNUM(tblStudyData[[#This Row],[Date]],2)</f>
        <v>34</v>
      </c>
    </row>
    <row r="174" spans="1:22" x14ac:dyDescent="0.3">
      <c r="A174" t="s">
        <v>274</v>
      </c>
      <c r="B174" s="5">
        <v>46238</v>
      </c>
      <c r="C174" t="s">
        <v>26</v>
      </c>
      <c r="D174" t="str">
        <f>_xlfn.XLOOKUP(tblStudyData[[#This Row],[Student_ID]],tblStudents[Student_ID],tblStudents[Student_Name],"")</f>
        <v>Rahul</v>
      </c>
      <c r="E174" t="str">
        <f>_xlfn.XLOOKUP(tblStudyData[[#This Row],[Student_ID]],tblStudents[Student_ID],tblStudents[Gender],"")</f>
        <v>Male</v>
      </c>
      <c r="F174">
        <f>_xlfn.XLOOKUP(tblStudyData[[#This Row],[Student_ID]],tblStudents[Student_ID],tblStudents[Grade],"")</f>
        <v>10</v>
      </c>
      <c r="G174" t="str">
        <f>_xlfn.XLOOKUP(tblStudyData[[#This Row],[Student_ID]],tblStudents[Student_ID],tblStudents[Class],"")</f>
        <v>A</v>
      </c>
      <c r="H174" t="s">
        <v>86</v>
      </c>
      <c r="I174" t="s">
        <v>113</v>
      </c>
      <c r="J174" t="s">
        <v>49</v>
      </c>
      <c r="K174">
        <v>3</v>
      </c>
      <c r="L174">
        <v>2.7</v>
      </c>
      <c r="M174" t="s">
        <v>52</v>
      </c>
      <c r="N174" t="s">
        <v>420</v>
      </c>
      <c r="O174">
        <v>79</v>
      </c>
      <c r="P174" t="s">
        <v>412</v>
      </c>
      <c r="Q174" s="20">
        <v>0.88</v>
      </c>
      <c r="R174" t="s">
        <v>55</v>
      </c>
      <c r="S174" t="s">
        <v>57</v>
      </c>
      <c r="T174" t="s">
        <v>62</v>
      </c>
      <c r="U174" t="s">
        <v>413</v>
      </c>
      <c r="V174">
        <f>WEEKNUM(tblStudyData[[#This Row],[Date]],2)</f>
        <v>32</v>
      </c>
    </row>
    <row r="175" spans="1:22" x14ac:dyDescent="0.3">
      <c r="A175" t="s">
        <v>275</v>
      </c>
      <c r="B175" s="5">
        <v>46250</v>
      </c>
      <c r="C175" t="s">
        <v>69</v>
      </c>
      <c r="D175" t="str">
        <f>_xlfn.XLOOKUP(tblStudyData[[#This Row],[Student_ID]],tblStudents[Student_ID],tblStudents[Student_Name],"")</f>
        <v>Vikaram</v>
      </c>
      <c r="E175" t="str">
        <f>_xlfn.XLOOKUP(tblStudyData[[#This Row],[Student_ID]],tblStudents[Student_ID],tblStudents[Gender],"")</f>
        <v>Male</v>
      </c>
      <c r="F175">
        <f>_xlfn.XLOOKUP(tblStudyData[[#This Row],[Student_ID]],tblStudents[Student_ID],tblStudents[Grade],"")</f>
        <v>10</v>
      </c>
      <c r="G175" t="str">
        <f>_xlfn.XLOOKUP(tblStudyData[[#This Row],[Student_ID]],tblStudents[Student_ID],tblStudents[Class],"")</f>
        <v>B</v>
      </c>
      <c r="H175" t="s">
        <v>86</v>
      </c>
      <c r="I175" t="s">
        <v>113</v>
      </c>
      <c r="J175" t="s">
        <v>49</v>
      </c>
      <c r="K175">
        <v>2</v>
      </c>
      <c r="L175">
        <v>1.5</v>
      </c>
      <c r="M175" t="s">
        <v>52</v>
      </c>
      <c r="N175" t="s">
        <v>420</v>
      </c>
      <c r="O175">
        <v>78</v>
      </c>
      <c r="P175" t="s">
        <v>412</v>
      </c>
      <c r="Q175" s="20">
        <v>0.75</v>
      </c>
      <c r="R175" t="s">
        <v>55</v>
      </c>
      <c r="S175" t="s">
        <v>58</v>
      </c>
      <c r="T175" t="s">
        <v>64</v>
      </c>
      <c r="U175" t="s">
        <v>413</v>
      </c>
      <c r="V175">
        <f>WEEKNUM(tblStudyData[[#This Row],[Date]],2)</f>
        <v>33</v>
      </c>
    </row>
    <row r="176" spans="1:22" x14ac:dyDescent="0.3">
      <c r="A176" t="s">
        <v>276</v>
      </c>
      <c r="B176" s="5">
        <v>46237</v>
      </c>
      <c r="C176" t="s">
        <v>30</v>
      </c>
      <c r="D176" t="str">
        <f>_xlfn.XLOOKUP(tblStudyData[[#This Row],[Student_ID]],tblStudents[Student_ID],tblStudents[Student_Name],"")</f>
        <v>Kiran</v>
      </c>
      <c r="E176" t="str">
        <f>_xlfn.XLOOKUP(tblStudyData[[#This Row],[Student_ID]],tblStudents[Student_ID],tblStudents[Gender],"")</f>
        <v>Male</v>
      </c>
      <c r="F176">
        <f>_xlfn.XLOOKUP(tblStudyData[[#This Row],[Student_ID]],tblStudents[Student_ID],tblStudents[Grade],"")</f>
        <v>12</v>
      </c>
      <c r="G176" t="str">
        <f>_xlfn.XLOOKUP(tblStudyData[[#This Row],[Student_ID]],tblStudents[Student_ID],tblStudents[Class],"")</f>
        <v>A</v>
      </c>
      <c r="H176" t="s">
        <v>86</v>
      </c>
      <c r="I176" t="s">
        <v>113</v>
      </c>
      <c r="J176" t="s">
        <v>49</v>
      </c>
      <c r="K176">
        <v>3</v>
      </c>
      <c r="L176">
        <v>2.9</v>
      </c>
      <c r="M176" t="s">
        <v>52</v>
      </c>
      <c r="N176" t="s">
        <v>420</v>
      </c>
      <c r="O176">
        <v>89</v>
      </c>
      <c r="P176" t="s">
        <v>53</v>
      </c>
      <c r="Q176" s="20">
        <f>IF(tblStudyData[[#This Row],[Attendence_Status]]="Present",100%,IF(tblStudyData[[#This Row],[Attendence_Status]]="Late",80%,IF(tblStudyData[[#This Row],[Attendence_Status]]="Absent",0%,"")))</f>
        <v>1</v>
      </c>
      <c r="R176" t="s">
        <v>56</v>
      </c>
      <c r="S176" t="s">
        <v>57</v>
      </c>
      <c r="T176" t="s">
        <v>63</v>
      </c>
      <c r="U176" t="s">
        <v>410</v>
      </c>
      <c r="V176">
        <f>WEEKNUM(tblStudyData[[#This Row],[Date]],2)</f>
        <v>32</v>
      </c>
    </row>
    <row r="177" spans="1:22" x14ac:dyDescent="0.3">
      <c r="A177" t="s">
        <v>277</v>
      </c>
      <c r="B177" s="5">
        <v>46256</v>
      </c>
      <c r="C177" t="s">
        <v>66</v>
      </c>
      <c r="D177" t="str">
        <f>_xlfn.XLOOKUP(tblStudyData[[#This Row],[Student_ID]],tblStudents[Student_ID],tblStudents[Student_Name],"")</f>
        <v>Anjali</v>
      </c>
      <c r="E177" t="str">
        <f>_xlfn.XLOOKUP(tblStudyData[[#This Row],[Student_ID]],tblStudents[Student_ID],tblStudents[Gender],"")</f>
        <v>Female</v>
      </c>
      <c r="F177">
        <f>_xlfn.XLOOKUP(tblStudyData[[#This Row],[Student_ID]],tblStudents[Student_ID],tblStudents[Grade],"")</f>
        <v>11</v>
      </c>
      <c r="G177" t="str">
        <f>_xlfn.XLOOKUP(tblStudyData[[#This Row],[Student_ID]],tblStudents[Student_ID],tblStudents[Class],"")</f>
        <v>A</v>
      </c>
      <c r="H177" t="s">
        <v>86</v>
      </c>
      <c r="I177" t="s">
        <v>113</v>
      </c>
      <c r="J177" t="s">
        <v>50</v>
      </c>
      <c r="K177">
        <v>3</v>
      </c>
      <c r="L177">
        <v>1.9</v>
      </c>
      <c r="M177" t="s">
        <v>52</v>
      </c>
      <c r="N177" t="s">
        <v>420</v>
      </c>
      <c r="O177">
        <v>77</v>
      </c>
      <c r="P177" t="s">
        <v>412</v>
      </c>
      <c r="Q177" s="20">
        <v>0.95</v>
      </c>
      <c r="R177" t="s">
        <v>56</v>
      </c>
      <c r="S177" t="s">
        <v>59</v>
      </c>
      <c r="T177" t="s">
        <v>93</v>
      </c>
      <c r="U177" t="s">
        <v>413</v>
      </c>
      <c r="V177">
        <f>WEEKNUM(tblStudyData[[#This Row],[Date]],2)</f>
        <v>34</v>
      </c>
    </row>
    <row r="178" spans="1:22" x14ac:dyDescent="0.3">
      <c r="A178" t="s">
        <v>278</v>
      </c>
      <c r="B178" s="5">
        <v>46258</v>
      </c>
      <c r="C178" t="s">
        <v>30</v>
      </c>
      <c r="D178" t="str">
        <f>_xlfn.XLOOKUP(tblStudyData[[#This Row],[Student_ID]],tblStudents[Student_ID],tblStudents[Student_Name],"")</f>
        <v>Kiran</v>
      </c>
      <c r="E178" t="str">
        <f>_xlfn.XLOOKUP(tblStudyData[[#This Row],[Student_ID]],tblStudents[Student_ID],tblStudents[Gender],"")</f>
        <v>Male</v>
      </c>
      <c r="F178">
        <f>_xlfn.XLOOKUP(tblStudyData[[#This Row],[Student_ID]],tblStudents[Student_ID],tblStudents[Grade],"")</f>
        <v>12</v>
      </c>
      <c r="G178" t="str">
        <f>_xlfn.XLOOKUP(tblStudyData[[#This Row],[Student_ID]],tblStudents[Student_ID],tblStudents[Class],"")</f>
        <v>A</v>
      </c>
      <c r="H178" t="s">
        <v>86</v>
      </c>
      <c r="I178" t="s">
        <v>113</v>
      </c>
      <c r="J178" t="s">
        <v>88</v>
      </c>
      <c r="K178">
        <v>1</v>
      </c>
      <c r="L178">
        <v>0.9</v>
      </c>
      <c r="M178" t="s">
        <v>52</v>
      </c>
      <c r="N178" t="s">
        <v>420</v>
      </c>
      <c r="O178">
        <v>89</v>
      </c>
      <c r="P178" t="s">
        <v>53</v>
      </c>
      <c r="Q178" s="20">
        <f>IF(tblStudyData[[#This Row],[Attendence_Status]]="Present",100%,IF(tblStudyData[[#This Row],[Attendence_Status]]="Late",80%,IF(tblStudyData[[#This Row],[Attendence_Status]]="Absent",0%,"")))</f>
        <v>1</v>
      </c>
      <c r="R178" t="s">
        <v>54</v>
      </c>
      <c r="S178" t="s">
        <v>91</v>
      </c>
      <c r="T178" t="s">
        <v>61</v>
      </c>
      <c r="U178" t="s">
        <v>410</v>
      </c>
      <c r="V178">
        <f>WEEKNUM(tblStudyData[[#This Row],[Date]],2)</f>
        <v>35</v>
      </c>
    </row>
    <row r="179" spans="1:22" x14ac:dyDescent="0.3">
      <c r="A179" t="s">
        <v>279</v>
      </c>
      <c r="B179" s="5">
        <v>46237</v>
      </c>
      <c r="C179" t="s">
        <v>69</v>
      </c>
      <c r="D179" t="str">
        <f>_xlfn.XLOOKUP(tblStudyData[[#This Row],[Student_ID]],tblStudents[Student_ID],tblStudents[Student_Name],"")</f>
        <v>Vikaram</v>
      </c>
      <c r="E179" t="str">
        <f>_xlfn.XLOOKUP(tblStudyData[[#This Row],[Student_ID]],tblStudents[Student_ID],tblStudents[Gender],"")</f>
        <v>Male</v>
      </c>
      <c r="F179">
        <f>_xlfn.XLOOKUP(tblStudyData[[#This Row],[Student_ID]],tblStudents[Student_ID],tblStudents[Grade],"")</f>
        <v>10</v>
      </c>
      <c r="G179" t="str">
        <f>_xlfn.XLOOKUP(tblStudyData[[#This Row],[Student_ID]],tblStudents[Student_ID],tblStudents[Class],"")</f>
        <v>B</v>
      </c>
      <c r="H179" t="s">
        <v>43</v>
      </c>
      <c r="I179" t="s">
        <v>113</v>
      </c>
      <c r="J179" t="s">
        <v>49</v>
      </c>
      <c r="K179">
        <v>4</v>
      </c>
      <c r="L179">
        <v>3.6</v>
      </c>
      <c r="M179" t="s">
        <v>52</v>
      </c>
      <c r="N179" t="s">
        <v>420</v>
      </c>
      <c r="O179">
        <v>83</v>
      </c>
      <c r="P179" t="s">
        <v>412</v>
      </c>
      <c r="Q179" s="20">
        <v>0.78</v>
      </c>
      <c r="R179" t="s">
        <v>55</v>
      </c>
      <c r="S179" t="s">
        <v>91</v>
      </c>
      <c r="T179" t="s">
        <v>64</v>
      </c>
      <c r="U179" t="s">
        <v>413</v>
      </c>
      <c r="V179">
        <f>WEEKNUM(tblStudyData[[#This Row],[Date]],2)</f>
        <v>32</v>
      </c>
    </row>
    <row r="180" spans="1:22" x14ac:dyDescent="0.3">
      <c r="A180" t="s">
        <v>280</v>
      </c>
      <c r="B180" s="5">
        <v>46241</v>
      </c>
      <c r="C180" t="s">
        <v>67</v>
      </c>
      <c r="D180" t="str">
        <f>_xlfn.XLOOKUP(tblStudyData[[#This Row],[Student_ID]],tblStudents[Student_ID],tblStudents[Student_Name],"")</f>
        <v>Rohit</v>
      </c>
      <c r="E180" t="str">
        <f>_xlfn.XLOOKUP(tblStudyData[[#This Row],[Student_ID]],tblStudents[Student_ID],tblStudents[Gender],"")</f>
        <v>Male</v>
      </c>
      <c r="F180">
        <f>_xlfn.XLOOKUP(tblStudyData[[#This Row],[Student_ID]],tblStudents[Student_ID],tblStudents[Grade],"")</f>
        <v>9</v>
      </c>
      <c r="G180" t="str">
        <f>_xlfn.XLOOKUP(tblStudyData[[#This Row],[Student_ID]],tblStudents[Student_ID],tblStudents[Class],"")</f>
        <v>A</v>
      </c>
      <c r="H180" t="s">
        <v>86</v>
      </c>
      <c r="I180" t="s">
        <v>113</v>
      </c>
      <c r="J180" t="s">
        <v>88</v>
      </c>
      <c r="K180">
        <v>1</v>
      </c>
      <c r="L180">
        <v>0.7</v>
      </c>
      <c r="M180" t="s">
        <v>52</v>
      </c>
      <c r="N180" t="s">
        <v>420</v>
      </c>
      <c r="O180">
        <v>75</v>
      </c>
      <c r="P180" t="s">
        <v>412</v>
      </c>
      <c r="Q180" s="20">
        <v>0.77</v>
      </c>
      <c r="R180" t="s">
        <v>54</v>
      </c>
      <c r="S180" t="s">
        <v>60</v>
      </c>
      <c r="T180" t="s">
        <v>63</v>
      </c>
      <c r="U180" t="s">
        <v>413</v>
      </c>
      <c r="V180">
        <f>WEEKNUM(tblStudyData[[#This Row],[Date]],2)</f>
        <v>32</v>
      </c>
    </row>
    <row r="181" spans="1:22" x14ac:dyDescent="0.3">
      <c r="A181" t="s">
        <v>281</v>
      </c>
      <c r="B181" s="5">
        <v>46256</v>
      </c>
      <c r="C181" t="s">
        <v>69</v>
      </c>
      <c r="D181" t="str">
        <f>_xlfn.XLOOKUP(tblStudyData[[#This Row],[Student_ID]],tblStudents[Student_ID],tblStudents[Student_Name],"")</f>
        <v>Vikaram</v>
      </c>
      <c r="E181" t="str">
        <f>_xlfn.XLOOKUP(tblStudyData[[#This Row],[Student_ID]],tblStudents[Student_ID],tblStudents[Gender],"")</f>
        <v>Male</v>
      </c>
      <c r="F181">
        <f>_xlfn.XLOOKUP(tblStudyData[[#This Row],[Student_ID]],tblStudents[Student_ID],tblStudents[Grade],"")</f>
        <v>10</v>
      </c>
      <c r="G181" t="str">
        <f>_xlfn.XLOOKUP(tblStudyData[[#This Row],[Student_ID]],tblStudents[Student_ID],tblStudents[Class],"")</f>
        <v>B</v>
      </c>
      <c r="H181" t="s">
        <v>43</v>
      </c>
      <c r="I181" t="s">
        <v>113</v>
      </c>
      <c r="J181" t="s">
        <v>50</v>
      </c>
      <c r="K181">
        <v>2</v>
      </c>
      <c r="L181">
        <v>1.6</v>
      </c>
      <c r="M181" t="s">
        <v>52</v>
      </c>
      <c r="N181" t="s">
        <v>420</v>
      </c>
      <c r="O181">
        <v>94</v>
      </c>
      <c r="P181" t="s">
        <v>409</v>
      </c>
      <c r="Q181" s="20">
        <v>0.79</v>
      </c>
      <c r="R181" t="s">
        <v>55</v>
      </c>
      <c r="S181" t="s">
        <v>59</v>
      </c>
      <c r="T181" t="s">
        <v>62</v>
      </c>
      <c r="U181" t="s">
        <v>410</v>
      </c>
      <c r="V181">
        <f>WEEKNUM(tblStudyData[[#This Row],[Date]],2)</f>
        <v>34</v>
      </c>
    </row>
    <row r="182" spans="1:22" x14ac:dyDescent="0.3">
      <c r="A182" t="s">
        <v>282</v>
      </c>
      <c r="B182" s="5">
        <v>46246</v>
      </c>
      <c r="C182" t="s">
        <v>75</v>
      </c>
      <c r="D182" t="str">
        <f>_xlfn.XLOOKUP(tblStudyData[[#This Row],[Student_ID]],tblStudents[Student_ID],tblStudents[Student_Name],"")</f>
        <v>Akhil</v>
      </c>
      <c r="E182" t="str">
        <f>_xlfn.XLOOKUP(tblStudyData[[#This Row],[Student_ID]],tblStudents[Student_ID],tblStudents[Gender],"")</f>
        <v>Male</v>
      </c>
      <c r="F182">
        <f>_xlfn.XLOOKUP(tblStudyData[[#This Row],[Student_ID]],tblStudents[Student_ID],tblStudents[Grade],"")</f>
        <v>9</v>
      </c>
      <c r="G182" t="str">
        <f>_xlfn.XLOOKUP(tblStudyData[[#This Row],[Student_ID]],tblStudents[Student_ID],tblStudents[Class],"")</f>
        <v>A</v>
      </c>
      <c r="H182" t="s">
        <v>43</v>
      </c>
      <c r="I182" t="s">
        <v>113</v>
      </c>
      <c r="J182" t="s">
        <v>51</v>
      </c>
      <c r="K182">
        <v>2</v>
      </c>
      <c r="L182">
        <v>1.4</v>
      </c>
      <c r="M182" t="s">
        <v>52</v>
      </c>
      <c r="N182" t="s">
        <v>420</v>
      </c>
      <c r="O182">
        <v>76</v>
      </c>
      <c r="P182" t="s">
        <v>409</v>
      </c>
      <c r="Q182" s="20">
        <f>IF(tblStudyData[[#This Row],[Attendence_Status]]="Present",100%,IF(tblStudyData[[#This Row],[Attendence_Status]]="Late",80%,IF(tblStudyData[[#This Row],[Attendence_Status]]="Absent",0%,"")))</f>
        <v>0.8</v>
      </c>
      <c r="R182" t="s">
        <v>56</v>
      </c>
      <c r="S182" t="s">
        <v>90</v>
      </c>
      <c r="T182" t="s">
        <v>63</v>
      </c>
      <c r="U182" t="s">
        <v>411</v>
      </c>
      <c r="V182">
        <f>WEEKNUM(tblStudyData[[#This Row],[Date]],2)</f>
        <v>33</v>
      </c>
    </row>
    <row r="183" spans="1:22" x14ac:dyDescent="0.3">
      <c r="A183" t="s">
        <v>283</v>
      </c>
      <c r="B183" s="5">
        <v>46253</v>
      </c>
      <c r="C183" t="s">
        <v>70</v>
      </c>
      <c r="D183" t="str">
        <f>_xlfn.XLOOKUP(tblStudyData[[#This Row],[Student_ID]],tblStudents[Student_ID],tblStudents[Student_Name],"")</f>
        <v>Neha</v>
      </c>
      <c r="E183" t="str">
        <f>_xlfn.XLOOKUP(tblStudyData[[#This Row],[Student_ID]],tblStudents[Student_ID],tblStudents[Gender],"")</f>
        <v>Female</v>
      </c>
      <c r="F183">
        <f>_xlfn.XLOOKUP(tblStudyData[[#This Row],[Student_ID]],tblStudents[Student_ID],tblStudents[Grade],"")</f>
        <v>11</v>
      </c>
      <c r="G183" t="str">
        <f>_xlfn.XLOOKUP(tblStudyData[[#This Row],[Student_ID]],tblStudents[Student_ID],tblStudents[Class],"")</f>
        <v>B</v>
      </c>
      <c r="H183" t="s">
        <v>86</v>
      </c>
      <c r="I183" t="s">
        <v>113</v>
      </c>
      <c r="J183" t="s">
        <v>51</v>
      </c>
      <c r="K183">
        <v>4</v>
      </c>
      <c r="L183">
        <v>2.8</v>
      </c>
      <c r="M183" t="s">
        <v>52</v>
      </c>
      <c r="N183" t="s">
        <v>420</v>
      </c>
      <c r="O183">
        <v>72</v>
      </c>
      <c r="P183" t="s">
        <v>412</v>
      </c>
      <c r="Q183" s="20">
        <v>0.88</v>
      </c>
      <c r="R183" t="s">
        <v>54</v>
      </c>
      <c r="S183" t="s">
        <v>90</v>
      </c>
      <c r="T183" t="s">
        <v>61</v>
      </c>
      <c r="U183" t="s">
        <v>413</v>
      </c>
      <c r="V183">
        <f>WEEKNUM(tblStudyData[[#This Row],[Date]],2)</f>
        <v>34</v>
      </c>
    </row>
    <row r="184" spans="1:22" x14ac:dyDescent="0.3">
      <c r="A184" t="s">
        <v>284</v>
      </c>
      <c r="B184" s="5">
        <v>46253</v>
      </c>
      <c r="C184" t="s">
        <v>26</v>
      </c>
      <c r="D184" t="str">
        <f>_xlfn.XLOOKUP(tblStudyData[[#This Row],[Student_ID]],tblStudents[Student_ID],tblStudents[Student_Name],"")</f>
        <v>Rahul</v>
      </c>
      <c r="E184" t="str">
        <f>_xlfn.XLOOKUP(tblStudyData[[#This Row],[Student_ID]],tblStudents[Student_ID],tblStudents[Gender],"")</f>
        <v>Male</v>
      </c>
      <c r="F184">
        <f>_xlfn.XLOOKUP(tblStudyData[[#This Row],[Student_ID]],tblStudents[Student_ID],tblStudents[Grade],"")</f>
        <v>10</v>
      </c>
      <c r="G184" t="str">
        <f>_xlfn.XLOOKUP(tblStudyData[[#This Row],[Student_ID]],tblStudents[Student_ID],tblStudents[Class],"")</f>
        <v>A</v>
      </c>
      <c r="H184" t="s">
        <v>43</v>
      </c>
      <c r="I184" t="s">
        <v>113</v>
      </c>
      <c r="J184" t="s">
        <v>51</v>
      </c>
      <c r="K184">
        <v>1</v>
      </c>
      <c r="L184">
        <v>0.8</v>
      </c>
      <c r="M184" t="s">
        <v>52</v>
      </c>
      <c r="N184" t="s">
        <v>420</v>
      </c>
      <c r="O184">
        <v>74</v>
      </c>
      <c r="P184" t="s">
        <v>409</v>
      </c>
      <c r="Q184" s="20">
        <f>IF(tblStudyData[[#This Row],[Attendence_Status]]="Present",100%,IF(tblStudyData[[#This Row],[Attendence_Status]]="Late",80%,IF(tblStudyData[[#This Row],[Attendence_Status]]="Absent",0%,"")))</f>
        <v>0.8</v>
      </c>
      <c r="R184" t="s">
        <v>54</v>
      </c>
      <c r="S184" t="s">
        <v>58</v>
      </c>
      <c r="T184" t="s">
        <v>63</v>
      </c>
      <c r="U184" t="s">
        <v>411</v>
      </c>
      <c r="V184">
        <f>WEEKNUM(tblStudyData[[#This Row],[Date]],2)</f>
        <v>34</v>
      </c>
    </row>
    <row r="185" spans="1:22" x14ac:dyDescent="0.3">
      <c r="A185" t="s">
        <v>285</v>
      </c>
      <c r="B185" s="5">
        <v>46260</v>
      </c>
      <c r="C185" t="s">
        <v>27</v>
      </c>
      <c r="D185" t="str">
        <f>_xlfn.XLOOKUP(tblStudyData[[#This Row],[Student_ID]],tblStudents[Student_ID],tblStudents[Student_Name],"")</f>
        <v>Priya</v>
      </c>
      <c r="E185" t="str">
        <f>_xlfn.XLOOKUP(tblStudyData[[#This Row],[Student_ID]],tblStudents[Student_ID],tblStudents[Gender],"")</f>
        <v>Female</v>
      </c>
      <c r="F185">
        <f>_xlfn.XLOOKUP(tblStudyData[[#This Row],[Student_ID]],tblStudents[Student_ID],tblStudents[Grade],"")</f>
        <v>10</v>
      </c>
      <c r="G185" t="str">
        <f>_xlfn.XLOOKUP(tblStudyData[[#This Row],[Student_ID]],tblStudents[Student_ID],tblStudents[Class],"")</f>
        <v>A</v>
      </c>
      <c r="H185" t="s">
        <v>44</v>
      </c>
      <c r="I185" t="s">
        <v>113</v>
      </c>
      <c r="J185" t="s">
        <v>51</v>
      </c>
      <c r="K185">
        <v>1</v>
      </c>
      <c r="L185">
        <v>0.9</v>
      </c>
      <c r="M185" t="s">
        <v>52</v>
      </c>
      <c r="N185" t="s">
        <v>420</v>
      </c>
      <c r="O185">
        <v>89</v>
      </c>
      <c r="P185" t="s">
        <v>53</v>
      </c>
      <c r="Q185" s="20">
        <f>IF(tblStudyData[[#This Row],[Attendence_Status]]="Present",100%,IF(tblStudyData[[#This Row],[Attendence_Status]]="Late",80%,IF(tblStudyData[[#This Row],[Attendence_Status]]="Absent",0%,"")))</f>
        <v>1</v>
      </c>
      <c r="R185" t="s">
        <v>55</v>
      </c>
      <c r="S185" t="s">
        <v>91</v>
      </c>
      <c r="T185" t="s">
        <v>61</v>
      </c>
      <c r="U185" t="s">
        <v>410</v>
      </c>
      <c r="V185">
        <f>WEEKNUM(tblStudyData[[#This Row],[Date]],2)</f>
        <v>35</v>
      </c>
    </row>
    <row r="186" spans="1:22" x14ac:dyDescent="0.3">
      <c r="A186" t="s">
        <v>286</v>
      </c>
      <c r="B186" s="5">
        <v>46240</v>
      </c>
      <c r="C186" t="s">
        <v>28</v>
      </c>
      <c r="D186" t="str">
        <f>_xlfn.XLOOKUP(tblStudyData[[#This Row],[Student_ID]],tblStudents[Student_ID],tblStudents[Student_Name],"")</f>
        <v>Arjun</v>
      </c>
      <c r="E186" t="str">
        <f>_xlfn.XLOOKUP(tblStudyData[[#This Row],[Student_ID]],tblStudents[Student_ID],tblStudents[Gender],"")</f>
        <v>Male</v>
      </c>
      <c r="F186">
        <f>_xlfn.XLOOKUP(tblStudyData[[#This Row],[Student_ID]],tblStudents[Student_ID],tblStudents[Grade],"")</f>
        <v>11</v>
      </c>
      <c r="G186" t="str">
        <f>_xlfn.XLOOKUP(tblStudyData[[#This Row],[Student_ID]],tblStudents[Student_ID],tblStudents[Class],"")</f>
        <v>B</v>
      </c>
      <c r="H186" t="s">
        <v>44</v>
      </c>
      <c r="I186" t="s">
        <v>113</v>
      </c>
      <c r="J186" t="s">
        <v>88</v>
      </c>
      <c r="K186">
        <v>3</v>
      </c>
      <c r="L186">
        <v>2.9</v>
      </c>
      <c r="M186" t="s">
        <v>52</v>
      </c>
      <c r="N186" t="s">
        <v>420</v>
      </c>
      <c r="O186">
        <v>82</v>
      </c>
      <c r="P186" t="s">
        <v>412</v>
      </c>
      <c r="Q186" s="20">
        <v>0.8</v>
      </c>
      <c r="R186" t="s">
        <v>56</v>
      </c>
      <c r="S186" t="s">
        <v>60</v>
      </c>
      <c r="T186" t="s">
        <v>62</v>
      </c>
      <c r="U186" t="s">
        <v>413</v>
      </c>
      <c r="V186">
        <f>WEEKNUM(tblStudyData[[#This Row],[Date]],2)</f>
        <v>32</v>
      </c>
    </row>
    <row r="187" spans="1:22" x14ac:dyDescent="0.3">
      <c r="A187" t="s">
        <v>287</v>
      </c>
      <c r="B187" s="5">
        <v>46240</v>
      </c>
      <c r="C187" t="s">
        <v>28</v>
      </c>
      <c r="D187" t="str">
        <f>_xlfn.XLOOKUP(tblStudyData[[#This Row],[Student_ID]],tblStudents[Student_ID],tblStudents[Student_Name],"")</f>
        <v>Arjun</v>
      </c>
      <c r="E187" t="str">
        <f>_xlfn.XLOOKUP(tblStudyData[[#This Row],[Student_ID]],tblStudents[Student_ID],tblStudents[Gender],"")</f>
        <v>Male</v>
      </c>
      <c r="F187">
        <f>_xlfn.XLOOKUP(tblStudyData[[#This Row],[Student_ID]],tblStudents[Student_ID],tblStudents[Grade],"")</f>
        <v>11</v>
      </c>
      <c r="G187" t="str">
        <f>_xlfn.XLOOKUP(tblStudyData[[#This Row],[Student_ID]],tblStudents[Student_ID],tblStudents[Class],"")</f>
        <v>B</v>
      </c>
      <c r="H187" t="s">
        <v>44</v>
      </c>
      <c r="I187" t="s">
        <v>113</v>
      </c>
      <c r="J187" t="s">
        <v>51</v>
      </c>
      <c r="K187">
        <v>3</v>
      </c>
      <c r="L187">
        <v>2.4</v>
      </c>
      <c r="M187" t="s">
        <v>52</v>
      </c>
      <c r="N187" t="s">
        <v>420</v>
      </c>
      <c r="O187">
        <v>80</v>
      </c>
      <c r="P187" t="s">
        <v>409</v>
      </c>
      <c r="Q187" s="20">
        <f>IF(tblStudyData[[#This Row],[Attendence_Status]]="Present",100%,IF(tblStudyData[[#This Row],[Attendence_Status]]="Late",80%,IF(tblStudyData[[#This Row],[Attendence_Status]]="Absent",0%,"")))</f>
        <v>0.8</v>
      </c>
      <c r="R187" t="s">
        <v>54</v>
      </c>
      <c r="S187" t="s">
        <v>91</v>
      </c>
      <c r="T187" t="s">
        <v>61</v>
      </c>
      <c r="U187" t="s">
        <v>411</v>
      </c>
      <c r="V187">
        <f>WEEKNUM(tblStudyData[[#This Row],[Date]],2)</f>
        <v>32</v>
      </c>
    </row>
    <row r="188" spans="1:22" x14ac:dyDescent="0.3">
      <c r="A188" t="s">
        <v>288</v>
      </c>
      <c r="B188" s="5">
        <v>46259</v>
      </c>
      <c r="C188" t="s">
        <v>26</v>
      </c>
      <c r="D188" t="str">
        <f>_xlfn.XLOOKUP(tblStudyData[[#This Row],[Student_ID]],tblStudents[Student_ID],tblStudents[Student_Name],"")</f>
        <v>Rahul</v>
      </c>
      <c r="E188" t="str">
        <f>_xlfn.XLOOKUP(tblStudyData[[#This Row],[Student_ID]],tblStudents[Student_ID],tblStudents[Gender],"")</f>
        <v>Male</v>
      </c>
      <c r="F188">
        <f>_xlfn.XLOOKUP(tblStudyData[[#This Row],[Student_ID]],tblStudents[Student_ID],tblStudents[Grade],"")</f>
        <v>10</v>
      </c>
      <c r="G188" t="str">
        <f>_xlfn.XLOOKUP(tblStudyData[[#This Row],[Student_ID]],tblStudents[Student_ID],tblStudents[Class],"")</f>
        <v>A</v>
      </c>
      <c r="H188" t="s">
        <v>44</v>
      </c>
      <c r="I188" t="s">
        <v>113</v>
      </c>
      <c r="J188" t="s">
        <v>50</v>
      </c>
      <c r="K188">
        <v>3</v>
      </c>
      <c r="L188">
        <v>2</v>
      </c>
      <c r="M188" t="s">
        <v>52</v>
      </c>
      <c r="N188" t="s">
        <v>420</v>
      </c>
      <c r="O188">
        <v>86</v>
      </c>
      <c r="P188" t="s">
        <v>409</v>
      </c>
      <c r="Q188" s="20">
        <f>IF(tblStudyData[[#This Row],[Attendence_Status]]="Present",100%,IF(tblStudyData[[#This Row],[Attendence_Status]]="Late",80%,IF(tblStudyData[[#This Row],[Attendence_Status]]="Absent",0%,"")))</f>
        <v>0.8</v>
      </c>
      <c r="R188" t="s">
        <v>54</v>
      </c>
      <c r="S188" t="s">
        <v>90</v>
      </c>
      <c r="T188" t="s">
        <v>65</v>
      </c>
      <c r="U188" t="s">
        <v>411</v>
      </c>
      <c r="V188">
        <f>WEEKNUM(tblStudyData[[#This Row],[Date]],2)</f>
        <v>35</v>
      </c>
    </row>
    <row r="189" spans="1:22" x14ac:dyDescent="0.3">
      <c r="A189" t="s">
        <v>289</v>
      </c>
      <c r="B189" s="5">
        <v>46257</v>
      </c>
      <c r="C189" t="s">
        <v>70</v>
      </c>
      <c r="D189" t="str">
        <f>_xlfn.XLOOKUP(tblStudyData[[#This Row],[Student_ID]],tblStudents[Student_ID],tblStudents[Student_Name],"")</f>
        <v>Neha</v>
      </c>
      <c r="E189" t="str">
        <f>_xlfn.XLOOKUP(tblStudyData[[#This Row],[Student_ID]],tblStudents[Student_ID],tblStudents[Gender],"")</f>
        <v>Female</v>
      </c>
      <c r="F189">
        <f>_xlfn.XLOOKUP(tblStudyData[[#This Row],[Student_ID]],tblStudents[Student_ID],tblStudents[Grade],"")</f>
        <v>11</v>
      </c>
      <c r="G189" t="str">
        <f>_xlfn.XLOOKUP(tblStudyData[[#This Row],[Student_ID]],tblStudents[Student_ID],tblStudents[Class],"")</f>
        <v>B</v>
      </c>
      <c r="H189" t="s">
        <v>44</v>
      </c>
      <c r="I189" t="s">
        <v>113</v>
      </c>
      <c r="J189" t="s">
        <v>88</v>
      </c>
      <c r="K189">
        <v>3</v>
      </c>
      <c r="L189">
        <v>1.8</v>
      </c>
      <c r="M189" t="s">
        <v>52</v>
      </c>
      <c r="N189" t="s">
        <v>420</v>
      </c>
      <c r="O189">
        <v>62</v>
      </c>
      <c r="P189" t="s">
        <v>412</v>
      </c>
      <c r="Q189" s="20">
        <v>1</v>
      </c>
      <c r="R189" t="s">
        <v>55</v>
      </c>
      <c r="S189" t="s">
        <v>91</v>
      </c>
      <c r="T189" t="s">
        <v>64</v>
      </c>
      <c r="U189" t="s">
        <v>413</v>
      </c>
      <c r="V189">
        <f>WEEKNUM(tblStudyData[[#This Row],[Date]],2)</f>
        <v>34</v>
      </c>
    </row>
    <row r="190" spans="1:22" x14ac:dyDescent="0.3">
      <c r="A190" t="s">
        <v>290</v>
      </c>
      <c r="B190" s="5">
        <v>46256</v>
      </c>
      <c r="C190" t="s">
        <v>68</v>
      </c>
      <c r="D190" t="str">
        <f>_xlfn.XLOOKUP(tblStudyData[[#This Row],[Student_ID]],tblStudents[Student_ID],tblStudents[Student_Name],"")</f>
        <v>Divya</v>
      </c>
      <c r="E190" t="str">
        <f>_xlfn.XLOOKUP(tblStudyData[[#This Row],[Student_ID]],tblStudents[Student_ID],tblStudents[Gender],"")</f>
        <v>Female</v>
      </c>
      <c r="F190">
        <f>_xlfn.XLOOKUP(tblStudyData[[#This Row],[Student_ID]],tblStudents[Student_ID],tblStudents[Grade],"")</f>
        <v>12</v>
      </c>
      <c r="G190" t="str">
        <f>_xlfn.XLOOKUP(tblStudyData[[#This Row],[Student_ID]],tblStudents[Student_ID],tblStudents[Class],"")</f>
        <v>B</v>
      </c>
      <c r="H190" t="s">
        <v>44</v>
      </c>
      <c r="I190" t="s">
        <v>113</v>
      </c>
      <c r="J190" t="s">
        <v>50</v>
      </c>
      <c r="K190">
        <v>4</v>
      </c>
      <c r="L190">
        <v>2.5</v>
      </c>
      <c r="M190" t="s">
        <v>52</v>
      </c>
      <c r="N190" t="s">
        <v>420</v>
      </c>
      <c r="O190">
        <v>88</v>
      </c>
      <c r="P190" t="s">
        <v>412</v>
      </c>
      <c r="Q190" s="20">
        <v>1</v>
      </c>
      <c r="R190" t="s">
        <v>54</v>
      </c>
      <c r="S190" t="s">
        <v>90</v>
      </c>
      <c r="T190" t="s">
        <v>65</v>
      </c>
      <c r="U190" t="s">
        <v>413</v>
      </c>
      <c r="V190">
        <f>WEEKNUM(tblStudyData[[#This Row],[Date]],2)</f>
        <v>34</v>
      </c>
    </row>
    <row r="191" spans="1:22" x14ac:dyDescent="0.3">
      <c r="A191" t="s">
        <v>291</v>
      </c>
      <c r="B191" s="5">
        <v>46240</v>
      </c>
      <c r="C191" t="s">
        <v>66</v>
      </c>
      <c r="D191" t="str">
        <f>_xlfn.XLOOKUP(tblStudyData[[#This Row],[Student_ID]],tblStudents[Student_ID],tblStudents[Student_Name],"")</f>
        <v>Anjali</v>
      </c>
      <c r="E191" t="str">
        <f>_xlfn.XLOOKUP(tblStudyData[[#This Row],[Student_ID]],tblStudents[Student_ID],tblStudents[Gender],"")</f>
        <v>Female</v>
      </c>
      <c r="F191">
        <f>_xlfn.XLOOKUP(tblStudyData[[#This Row],[Student_ID]],tblStudents[Student_ID],tblStudents[Grade],"")</f>
        <v>11</v>
      </c>
      <c r="G191" t="str">
        <f>_xlfn.XLOOKUP(tblStudyData[[#This Row],[Student_ID]],tblStudents[Student_ID],tblStudents[Class],"")</f>
        <v>A</v>
      </c>
      <c r="H191" t="s">
        <v>44</v>
      </c>
      <c r="I191" t="s">
        <v>113</v>
      </c>
      <c r="J191" t="s">
        <v>51</v>
      </c>
      <c r="K191">
        <v>3</v>
      </c>
      <c r="L191">
        <v>3</v>
      </c>
      <c r="M191" t="s">
        <v>52</v>
      </c>
      <c r="N191" t="s">
        <v>420</v>
      </c>
      <c r="O191">
        <v>89</v>
      </c>
      <c r="P191" t="s">
        <v>53</v>
      </c>
      <c r="Q191" s="20">
        <f>IF(tblStudyData[[#This Row],[Attendence_Status]]="Present",100%,IF(tblStudyData[[#This Row],[Attendence_Status]]="Late",80%,IF(tblStudyData[[#This Row],[Attendence_Status]]="Absent",0%,"")))</f>
        <v>1</v>
      </c>
      <c r="R191" t="s">
        <v>55</v>
      </c>
      <c r="S191" t="s">
        <v>90</v>
      </c>
      <c r="T191" t="s">
        <v>93</v>
      </c>
      <c r="U191" t="s">
        <v>410</v>
      </c>
      <c r="V191">
        <f>WEEKNUM(tblStudyData[[#This Row],[Date]],2)</f>
        <v>32</v>
      </c>
    </row>
    <row r="192" spans="1:22" x14ac:dyDescent="0.3">
      <c r="A192" t="s">
        <v>292</v>
      </c>
      <c r="B192" s="5">
        <v>46255</v>
      </c>
      <c r="C192" t="s">
        <v>67</v>
      </c>
      <c r="D192" t="str">
        <f>_xlfn.XLOOKUP(tblStudyData[[#This Row],[Student_ID]],tblStudents[Student_ID],tblStudents[Student_Name],"")</f>
        <v>Rohit</v>
      </c>
      <c r="E192" t="str">
        <f>_xlfn.XLOOKUP(tblStudyData[[#This Row],[Student_ID]],tblStudents[Student_ID],tblStudents[Gender],"")</f>
        <v>Male</v>
      </c>
      <c r="F192">
        <f>_xlfn.XLOOKUP(tblStudyData[[#This Row],[Student_ID]],tblStudents[Student_ID],tblStudents[Grade],"")</f>
        <v>9</v>
      </c>
      <c r="G192" t="str">
        <f>_xlfn.XLOOKUP(tblStudyData[[#This Row],[Student_ID]],tblStudents[Student_ID],tblStudents[Class],"")</f>
        <v>A</v>
      </c>
      <c r="H192" t="s">
        <v>44</v>
      </c>
      <c r="I192" t="s">
        <v>113</v>
      </c>
      <c r="J192" t="s">
        <v>49</v>
      </c>
      <c r="K192">
        <v>3</v>
      </c>
      <c r="L192">
        <v>1.9</v>
      </c>
      <c r="M192" t="s">
        <v>52</v>
      </c>
      <c r="N192" t="s">
        <v>420</v>
      </c>
      <c r="O192">
        <v>61</v>
      </c>
      <c r="P192" t="s">
        <v>412</v>
      </c>
      <c r="Q192" s="20">
        <v>1</v>
      </c>
      <c r="R192" t="s">
        <v>55</v>
      </c>
      <c r="S192" t="s">
        <v>57</v>
      </c>
      <c r="T192" t="s">
        <v>62</v>
      </c>
      <c r="U192" t="s">
        <v>413</v>
      </c>
      <c r="V192">
        <f>WEEKNUM(tblStudyData[[#This Row],[Date]],2)</f>
        <v>34</v>
      </c>
    </row>
    <row r="193" spans="1:22" x14ac:dyDescent="0.3">
      <c r="A193" t="s">
        <v>293</v>
      </c>
      <c r="B193" s="5">
        <v>46235</v>
      </c>
      <c r="C193" t="s">
        <v>72</v>
      </c>
      <c r="D193" t="str">
        <f>_xlfn.XLOOKUP(tblStudyData[[#This Row],[Student_ID]],tblStudents[Student_ID],tblStudents[Student_Name],"")</f>
        <v>Pooja</v>
      </c>
      <c r="E193" t="str">
        <f>_xlfn.XLOOKUP(tblStudyData[[#This Row],[Student_ID]],tblStudents[Student_ID],tblStudents[Gender],"")</f>
        <v>Female</v>
      </c>
      <c r="F193">
        <f>_xlfn.XLOOKUP(tblStudyData[[#This Row],[Student_ID]],tblStudents[Student_ID],tblStudents[Grade],"")</f>
        <v>12</v>
      </c>
      <c r="G193" t="str">
        <f>_xlfn.XLOOKUP(tblStudyData[[#This Row],[Student_ID]],tblStudents[Student_ID],tblStudents[Class],"")</f>
        <v>A</v>
      </c>
      <c r="H193" t="s">
        <v>43</v>
      </c>
      <c r="I193" t="s">
        <v>113</v>
      </c>
      <c r="J193" t="s">
        <v>51</v>
      </c>
      <c r="K193">
        <v>1</v>
      </c>
      <c r="L193">
        <v>0.9</v>
      </c>
      <c r="M193" t="s">
        <v>52</v>
      </c>
      <c r="N193" t="s">
        <v>420</v>
      </c>
      <c r="O193">
        <v>96</v>
      </c>
      <c r="P193" t="s">
        <v>53</v>
      </c>
      <c r="Q193" s="20">
        <f>IF(tblStudyData[[#This Row],[Attendence_Status]]="Present",100%,IF(tblStudyData[[#This Row],[Attendence_Status]]="Late",80%,IF(tblStudyData[[#This Row],[Attendence_Status]]="Absent",0%,"")))</f>
        <v>1</v>
      </c>
      <c r="R193" t="s">
        <v>56</v>
      </c>
      <c r="S193" t="s">
        <v>59</v>
      </c>
      <c r="T193" t="s">
        <v>93</v>
      </c>
      <c r="U193" t="s">
        <v>414</v>
      </c>
      <c r="V193">
        <f>WEEKNUM(tblStudyData[[#This Row],[Date]],2)</f>
        <v>31</v>
      </c>
    </row>
    <row r="194" spans="1:22" x14ac:dyDescent="0.3">
      <c r="A194" t="s">
        <v>294</v>
      </c>
      <c r="B194" s="5">
        <v>46264</v>
      </c>
      <c r="C194" t="s">
        <v>66</v>
      </c>
      <c r="D194" t="str">
        <f>_xlfn.XLOOKUP(tblStudyData[[#This Row],[Student_ID]],tblStudents[Student_ID],tblStudents[Student_Name],"")</f>
        <v>Anjali</v>
      </c>
      <c r="E194" t="str">
        <f>_xlfn.XLOOKUP(tblStudyData[[#This Row],[Student_ID]],tblStudents[Student_ID],tblStudents[Gender],"")</f>
        <v>Female</v>
      </c>
      <c r="F194">
        <f>_xlfn.XLOOKUP(tblStudyData[[#This Row],[Student_ID]],tblStudents[Student_ID],tblStudents[Grade],"")</f>
        <v>11</v>
      </c>
      <c r="G194" t="str">
        <f>_xlfn.XLOOKUP(tblStudyData[[#This Row],[Student_ID]],tblStudents[Student_ID],tblStudents[Class],"")</f>
        <v>A</v>
      </c>
      <c r="H194" t="s">
        <v>43</v>
      </c>
      <c r="I194" t="s">
        <v>113</v>
      </c>
      <c r="J194" t="s">
        <v>49</v>
      </c>
      <c r="K194">
        <v>3</v>
      </c>
      <c r="L194">
        <v>2.5</v>
      </c>
      <c r="M194" t="s">
        <v>52</v>
      </c>
      <c r="N194" t="s">
        <v>420</v>
      </c>
      <c r="O194">
        <v>79</v>
      </c>
      <c r="P194" t="s">
        <v>412</v>
      </c>
      <c r="Q194" s="20">
        <v>1</v>
      </c>
      <c r="R194" t="s">
        <v>54</v>
      </c>
      <c r="S194" t="s">
        <v>59</v>
      </c>
      <c r="T194" t="s">
        <v>62</v>
      </c>
      <c r="U194" t="s">
        <v>413</v>
      </c>
      <c r="V194">
        <f>WEEKNUM(tblStudyData[[#This Row],[Date]],2)</f>
        <v>35</v>
      </c>
    </row>
    <row r="195" spans="1:22" x14ac:dyDescent="0.3">
      <c r="A195" t="s">
        <v>295</v>
      </c>
      <c r="B195" s="5">
        <v>46242</v>
      </c>
      <c r="C195" t="s">
        <v>27</v>
      </c>
      <c r="D195" t="str">
        <f>_xlfn.XLOOKUP(tblStudyData[[#This Row],[Student_ID]],tblStudents[Student_ID],tblStudents[Student_Name],"")</f>
        <v>Priya</v>
      </c>
      <c r="E195" t="str">
        <f>_xlfn.XLOOKUP(tblStudyData[[#This Row],[Student_ID]],tblStudents[Student_ID],tblStudents[Gender],"")</f>
        <v>Female</v>
      </c>
      <c r="F195">
        <f>_xlfn.XLOOKUP(tblStudyData[[#This Row],[Student_ID]],tblStudents[Student_ID],tblStudents[Grade],"")</f>
        <v>10</v>
      </c>
      <c r="G195" t="str">
        <f>_xlfn.XLOOKUP(tblStudyData[[#This Row],[Student_ID]],tblStudents[Student_ID],tblStudents[Class],"")</f>
        <v>A</v>
      </c>
      <c r="H195" t="s">
        <v>43</v>
      </c>
      <c r="I195" t="s">
        <v>113</v>
      </c>
      <c r="J195" t="s">
        <v>50</v>
      </c>
      <c r="K195">
        <v>3</v>
      </c>
      <c r="L195">
        <v>2.4</v>
      </c>
      <c r="M195" t="s">
        <v>52</v>
      </c>
      <c r="N195" t="s">
        <v>420</v>
      </c>
      <c r="O195">
        <v>84</v>
      </c>
      <c r="P195" t="s">
        <v>53</v>
      </c>
      <c r="Q195" s="20">
        <f>IF(tblStudyData[[#This Row],[Attendence_Status]]="Present",100%,IF(tblStudyData[[#This Row],[Attendence_Status]]="Late",80%,IF(tblStudyData[[#This Row],[Attendence_Status]]="Absent",0%,"")))</f>
        <v>1</v>
      </c>
      <c r="R195" t="s">
        <v>54</v>
      </c>
      <c r="S195" t="s">
        <v>57</v>
      </c>
      <c r="T195" t="s">
        <v>62</v>
      </c>
      <c r="U195" t="s">
        <v>410</v>
      </c>
      <c r="V195">
        <f>WEEKNUM(tblStudyData[[#This Row],[Date]],2)</f>
        <v>32</v>
      </c>
    </row>
    <row r="196" spans="1:22" x14ac:dyDescent="0.3">
      <c r="A196" t="s">
        <v>296</v>
      </c>
      <c r="B196" s="5">
        <v>46247</v>
      </c>
      <c r="C196" t="s">
        <v>28</v>
      </c>
      <c r="D196" t="str">
        <f>_xlfn.XLOOKUP(tblStudyData[[#This Row],[Student_ID]],tblStudents[Student_ID],tblStudents[Student_Name],"")</f>
        <v>Arjun</v>
      </c>
      <c r="E196" t="str">
        <f>_xlfn.XLOOKUP(tblStudyData[[#This Row],[Student_ID]],tblStudents[Student_ID],tblStudents[Gender],"")</f>
        <v>Male</v>
      </c>
      <c r="F196">
        <f>_xlfn.XLOOKUP(tblStudyData[[#This Row],[Student_ID]],tblStudents[Student_ID],tblStudents[Grade],"")</f>
        <v>11</v>
      </c>
      <c r="G196" t="str">
        <f>_xlfn.XLOOKUP(tblStudyData[[#This Row],[Student_ID]],tblStudents[Student_ID],tblStudents[Class],"")</f>
        <v>B</v>
      </c>
      <c r="H196" t="s">
        <v>43</v>
      </c>
      <c r="I196" t="s">
        <v>113</v>
      </c>
      <c r="J196" t="s">
        <v>49</v>
      </c>
      <c r="K196">
        <v>2</v>
      </c>
      <c r="L196">
        <v>1.7</v>
      </c>
      <c r="M196" t="s">
        <v>52</v>
      </c>
      <c r="N196" t="s">
        <v>420</v>
      </c>
      <c r="O196">
        <v>68</v>
      </c>
      <c r="P196" t="s">
        <v>53</v>
      </c>
      <c r="Q196" s="20">
        <f>IF(tblStudyData[[#This Row],[Attendence_Status]]="Present",100%,IF(tblStudyData[[#This Row],[Attendence_Status]]="Late",80%,IF(tblStudyData[[#This Row],[Attendence_Status]]="Absent",0%,"")))</f>
        <v>1</v>
      </c>
      <c r="R196" t="s">
        <v>54</v>
      </c>
      <c r="S196" t="s">
        <v>90</v>
      </c>
      <c r="T196" t="s">
        <v>61</v>
      </c>
      <c r="U196" t="s">
        <v>413</v>
      </c>
      <c r="V196">
        <f>WEEKNUM(tblStudyData[[#This Row],[Date]],2)</f>
        <v>33</v>
      </c>
    </row>
    <row r="197" spans="1:22" x14ac:dyDescent="0.3">
      <c r="A197" t="s">
        <v>297</v>
      </c>
      <c r="B197" s="5">
        <v>46243</v>
      </c>
      <c r="C197" t="s">
        <v>68</v>
      </c>
      <c r="D197" t="str">
        <f>_xlfn.XLOOKUP(tblStudyData[[#This Row],[Student_ID]],tblStudents[Student_ID],tblStudents[Student_Name],"")</f>
        <v>Divya</v>
      </c>
      <c r="E197" t="str">
        <f>_xlfn.XLOOKUP(tblStudyData[[#This Row],[Student_ID]],tblStudents[Student_ID],tblStudents[Gender],"")</f>
        <v>Female</v>
      </c>
      <c r="F197">
        <f>_xlfn.XLOOKUP(tblStudyData[[#This Row],[Student_ID]],tblStudents[Student_ID],tblStudents[Grade],"")</f>
        <v>12</v>
      </c>
      <c r="G197" t="str">
        <f>_xlfn.XLOOKUP(tblStudyData[[#This Row],[Student_ID]],tblStudents[Student_ID],tblStudents[Class],"")</f>
        <v>B</v>
      </c>
      <c r="H197" t="s">
        <v>43</v>
      </c>
      <c r="I197" t="s">
        <v>113</v>
      </c>
      <c r="J197" t="s">
        <v>51</v>
      </c>
      <c r="K197">
        <v>1</v>
      </c>
      <c r="L197">
        <v>0.7</v>
      </c>
      <c r="M197" t="s">
        <v>52</v>
      </c>
      <c r="N197" t="s">
        <v>420</v>
      </c>
      <c r="O197">
        <v>74</v>
      </c>
      <c r="P197" t="s">
        <v>409</v>
      </c>
      <c r="Q197" s="20">
        <f>IF(tblStudyData[[#This Row],[Attendence_Status]]="Present",100%,IF(tblStudyData[[#This Row],[Attendence_Status]]="Late",80%,IF(tblStudyData[[#This Row],[Attendence_Status]]="Absent",0%,"")))</f>
        <v>0.8</v>
      </c>
      <c r="R197" t="s">
        <v>54</v>
      </c>
      <c r="S197" t="s">
        <v>57</v>
      </c>
      <c r="T197" t="s">
        <v>63</v>
      </c>
      <c r="U197" t="s">
        <v>411</v>
      </c>
      <c r="V197">
        <f>WEEKNUM(tblStudyData[[#This Row],[Date]],2)</f>
        <v>32</v>
      </c>
    </row>
    <row r="198" spans="1:22" x14ac:dyDescent="0.3">
      <c r="A198" t="s">
        <v>298</v>
      </c>
      <c r="B198" s="5">
        <v>46256</v>
      </c>
      <c r="C198" t="s">
        <v>69</v>
      </c>
      <c r="D198" t="str">
        <f>_xlfn.XLOOKUP(tblStudyData[[#This Row],[Student_ID]],tblStudents[Student_ID],tblStudents[Student_Name],"")</f>
        <v>Vikaram</v>
      </c>
      <c r="E198" t="str">
        <f>_xlfn.XLOOKUP(tblStudyData[[#This Row],[Student_ID]],tblStudents[Student_ID],tblStudents[Gender],"")</f>
        <v>Male</v>
      </c>
      <c r="F198">
        <f>_xlfn.XLOOKUP(tblStudyData[[#This Row],[Student_ID]],tblStudents[Student_ID],tblStudents[Grade],"")</f>
        <v>10</v>
      </c>
      <c r="G198" t="str">
        <f>_xlfn.XLOOKUP(tblStudyData[[#This Row],[Student_ID]],tblStudents[Student_ID],tblStudents[Class],"")</f>
        <v>B</v>
      </c>
      <c r="H198" t="s">
        <v>43</v>
      </c>
      <c r="I198" t="s">
        <v>113</v>
      </c>
      <c r="J198" t="s">
        <v>49</v>
      </c>
      <c r="K198">
        <v>3</v>
      </c>
      <c r="L198">
        <v>2.7</v>
      </c>
      <c r="M198" t="s">
        <v>52</v>
      </c>
      <c r="N198" t="s">
        <v>420</v>
      </c>
      <c r="O198">
        <v>75</v>
      </c>
      <c r="P198" t="s">
        <v>409</v>
      </c>
      <c r="Q198" s="20">
        <f>IF(tblStudyData[[#This Row],[Attendence_Status]]="Present",100%,IF(tblStudyData[[#This Row],[Attendence_Status]]="Late",80%,IF(tblStudyData[[#This Row],[Attendence_Status]]="Absent",0%,"")))</f>
        <v>0.8</v>
      </c>
      <c r="R198" t="s">
        <v>54</v>
      </c>
      <c r="S198" t="s">
        <v>91</v>
      </c>
      <c r="T198" t="s">
        <v>63</v>
      </c>
      <c r="U198" t="s">
        <v>411</v>
      </c>
      <c r="V198">
        <f>WEEKNUM(tblStudyData[[#This Row],[Date]],2)</f>
        <v>34</v>
      </c>
    </row>
    <row r="199" spans="1:22" x14ac:dyDescent="0.3">
      <c r="A199" t="s">
        <v>299</v>
      </c>
      <c r="B199" s="5">
        <v>46246</v>
      </c>
      <c r="C199" t="s">
        <v>67</v>
      </c>
      <c r="D199" t="str">
        <f>_xlfn.XLOOKUP(tblStudyData[[#This Row],[Student_ID]],tblStudents[Student_ID],tblStudents[Student_Name],"")</f>
        <v>Rohit</v>
      </c>
      <c r="E199" t="str">
        <f>_xlfn.XLOOKUP(tblStudyData[[#This Row],[Student_ID]],tblStudents[Student_ID],tblStudents[Gender],"")</f>
        <v>Male</v>
      </c>
      <c r="F199">
        <f>_xlfn.XLOOKUP(tblStudyData[[#This Row],[Student_ID]],tblStudents[Student_ID],tblStudents[Grade],"")</f>
        <v>9</v>
      </c>
      <c r="G199" t="str">
        <f>_xlfn.XLOOKUP(tblStudyData[[#This Row],[Student_ID]],tblStudents[Student_ID],tblStudents[Class],"")</f>
        <v>A</v>
      </c>
      <c r="H199" t="s">
        <v>43</v>
      </c>
      <c r="I199" t="s">
        <v>113</v>
      </c>
      <c r="J199" t="s">
        <v>88</v>
      </c>
      <c r="K199">
        <v>2</v>
      </c>
      <c r="L199">
        <v>1.9</v>
      </c>
      <c r="M199" t="s">
        <v>52</v>
      </c>
      <c r="N199" t="s">
        <v>420</v>
      </c>
      <c r="O199">
        <v>84</v>
      </c>
      <c r="P199" t="s">
        <v>409</v>
      </c>
      <c r="Q199" s="20">
        <f>IF(tblStudyData[[#This Row],[Attendence_Status]]="Present",100%,IF(tblStudyData[[#This Row],[Attendence_Status]]="Late",80%,IF(tblStudyData[[#This Row],[Attendence_Status]]="Absent",0%,"")))</f>
        <v>0.8</v>
      </c>
      <c r="R199" t="s">
        <v>55</v>
      </c>
      <c r="S199" t="s">
        <v>60</v>
      </c>
      <c r="T199" t="s">
        <v>62</v>
      </c>
      <c r="U199" t="s">
        <v>411</v>
      </c>
      <c r="V199">
        <f>WEEKNUM(tblStudyData[[#This Row],[Date]],2)</f>
        <v>33</v>
      </c>
    </row>
    <row r="200" spans="1:22" x14ac:dyDescent="0.3">
      <c r="A200" t="s">
        <v>300</v>
      </c>
      <c r="B200" s="5">
        <v>46258</v>
      </c>
      <c r="C200" t="s">
        <v>74</v>
      </c>
      <c r="D200" t="str">
        <f>_xlfn.XLOOKUP(tblStudyData[[#This Row],[Student_ID]],tblStudents[Student_ID],tblStudents[Student_Name],"")</f>
        <v>Kavya</v>
      </c>
      <c r="E200" t="str">
        <f>_xlfn.XLOOKUP(tblStudyData[[#This Row],[Student_ID]],tblStudents[Student_ID],tblStudents[Gender],"")</f>
        <v>Female</v>
      </c>
      <c r="F200">
        <f>_xlfn.XLOOKUP(tblStudyData[[#This Row],[Student_ID]],tblStudents[Student_ID],tblStudents[Grade],"")</f>
        <v>11</v>
      </c>
      <c r="G200" t="str">
        <f>_xlfn.XLOOKUP(tblStudyData[[#This Row],[Student_ID]],tblStudents[Student_ID],tblStudents[Class],"")</f>
        <v>A</v>
      </c>
      <c r="H200" t="s">
        <v>43</v>
      </c>
      <c r="I200" t="s">
        <v>113</v>
      </c>
      <c r="J200" t="s">
        <v>51</v>
      </c>
      <c r="K200">
        <v>3</v>
      </c>
      <c r="L200">
        <v>2.2999999999999998</v>
      </c>
      <c r="M200" t="s">
        <v>52</v>
      </c>
      <c r="N200" t="s">
        <v>420</v>
      </c>
      <c r="O200">
        <v>75</v>
      </c>
      <c r="P200" t="s">
        <v>53</v>
      </c>
      <c r="Q200" s="20">
        <f>IF(tblStudyData[[#This Row],[Attendence_Status]]="Present",100%,IF(tblStudyData[[#This Row],[Attendence_Status]]="Late",80%,IF(tblStudyData[[#This Row],[Attendence_Status]]="Absent",0%,"")))</f>
        <v>1</v>
      </c>
      <c r="R200" t="s">
        <v>54</v>
      </c>
      <c r="S200" t="s">
        <v>58</v>
      </c>
      <c r="T200" t="s">
        <v>62</v>
      </c>
      <c r="U200" t="s">
        <v>411</v>
      </c>
      <c r="V200">
        <f>WEEKNUM(tblStudyData[[#This Row],[Date]],2)</f>
        <v>35</v>
      </c>
    </row>
    <row r="201" spans="1:22" x14ac:dyDescent="0.3">
      <c r="A201" t="s">
        <v>301</v>
      </c>
      <c r="B201" s="5">
        <v>46246</v>
      </c>
      <c r="C201" t="s">
        <v>74</v>
      </c>
      <c r="D201" t="str">
        <f>_xlfn.XLOOKUP(tblStudyData[[#This Row],[Student_ID]],tblStudents[Student_ID],tblStudents[Student_Name],"")</f>
        <v>Kavya</v>
      </c>
      <c r="E201" t="str">
        <f>_xlfn.XLOOKUP(tblStudyData[[#This Row],[Student_ID]],tblStudents[Student_ID],tblStudents[Gender],"")</f>
        <v>Female</v>
      </c>
      <c r="F201">
        <f>_xlfn.XLOOKUP(tblStudyData[[#This Row],[Student_ID]],tblStudents[Student_ID],tblStudents[Grade],"")</f>
        <v>11</v>
      </c>
      <c r="G201" t="str">
        <f>_xlfn.XLOOKUP(tblStudyData[[#This Row],[Student_ID]],tblStudents[Student_ID],tblStudents[Class],"")</f>
        <v>A</v>
      </c>
      <c r="H201" t="s">
        <v>43</v>
      </c>
      <c r="I201" t="s">
        <v>113</v>
      </c>
      <c r="J201" t="s">
        <v>88</v>
      </c>
      <c r="K201">
        <v>2</v>
      </c>
      <c r="L201">
        <v>1.8</v>
      </c>
      <c r="M201" t="s">
        <v>52</v>
      </c>
      <c r="N201" t="s">
        <v>420</v>
      </c>
      <c r="O201">
        <v>82</v>
      </c>
      <c r="P201" t="s">
        <v>53</v>
      </c>
      <c r="Q201" s="20">
        <f>IF(tblStudyData[[#This Row],[Attendence_Status]]="Present",100%,IF(tblStudyData[[#This Row],[Attendence_Status]]="Late",80%,IF(tblStudyData[[#This Row],[Attendence_Status]]="Absent",0%,"")))</f>
        <v>1</v>
      </c>
      <c r="R201" t="s">
        <v>56</v>
      </c>
      <c r="S201" t="s">
        <v>90</v>
      </c>
      <c r="T201" t="s">
        <v>61</v>
      </c>
      <c r="U201" t="s">
        <v>410</v>
      </c>
      <c r="V201">
        <f>WEEKNUM(tblStudyData[[#This Row],[Date]],2)</f>
        <v>33</v>
      </c>
    </row>
    <row r="202" spans="1:22" x14ac:dyDescent="0.3">
      <c r="A202" t="s">
        <v>302</v>
      </c>
      <c r="B202" s="5">
        <v>46257</v>
      </c>
      <c r="C202" t="s">
        <v>66</v>
      </c>
      <c r="D202" t="str">
        <f>_xlfn.XLOOKUP(tblStudyData[[#This Row],[Student_ID]],tblStudents[Student_ID],tblStudents[Student_Name],"")</f>
        <v>Anjali</v>
      </c>
      <c r="E202" t="str">
        <f>_xlfn.XLOOKUP(tblStudyData[[#This Row],[Student_ID]],tblStudents[Student_ID],tblStudents[Gender],"")</f>
        <v>Female</v>
      </c>
      <c r="F202">
        <f>_xlfn.XLOOKUP(tblStudyData[[#This Row],[Student_ID]],tblStudents[Student_ID],tblStudents[Grade],"")</f>
        <v>11</v>
      </c>
      <c r="G202" t="str">
        <f>_xlfn.XLOOKUP(tblStudyData[[#This Row],[Student_ID]],tblStudents[Student_ID],tblStudents[Class],"")</f>
        <v>A</v>
      </c>
      <c r="H202" t="s">
        <v>43</v>
      </c>
      <c r="I202" t="s">
        <v>113</v>
      </c>
      <c r="J202" t="s">
        <v>49</v>
      </c>
      <c r="K202">
        <v>2</v>
      </c>
      <c r="L202">
        <v>1.3</v>
      </c>
      <c r="M202" t="s">
        <v>52</v>
      </c>
      <c r="N202" t="s">
        <v>420</v>
      </c>
      <c r="O202">
        <v>79</v>
      </c>
      <c r="P202" t="s">
        <v>412</v>
      </c>
      <c r="Q202" s="20">
        <v>1</v>
      </c>
      <c r="R202" t="s">
        <v>54</v>
      </c>
      <c r="S202" t="s">
        <v>58</v>
      </c>
      <c r="T202" t="s">
        <v>93</v>
      </c>
      <c r="U202" t="s">
        <v>413</v>
      </c>
      <c r="V202">
        <f>WEEKNUM(tblStudyData[[#This Row],[Date]],2)</f>
        <v>34</v>
      </c>
    </row>
    <row r="203" spans="1:22" x14ac:dyDescent="0.3">
      <c r="A203" t="s">
        <v>303</v>
      </c>
      <c r="B203" s="5">
        <v>46249</v>
      </c>
      <c r="C203" t="s">
        <v>68</v>
      </c>
      <c r="D203" t="str">
        <f>_xlfn.XLOOKUP(tblStudyData[[#This Row],[Student_ID]],tblStudents[Student_ID],tblStudents[Student_Name],"")</f>
        <v>Divya</v>
      </c>
      <c r="E203" t="str">
        <f>_xlfn.XLOOKUP(tblStudyData[[#This Row],[Student_ID]],tblStudents[Student_ID],tblStudents[Gender],"")</f>
        <v>Female</v>
      </c>
      <c r="F203">
        <f>_xlfn.XLOOKUP(tblStudyData[[#This Row],[Student_ID]],tblStudents[Student_ID],tblStudents[Grade],"")</f>
        <v>12</v>
      </c>
      <c r="G203" t="str">
        <f>_xlfn.XLOOKUP(tblStudyData[[#This Row],[Student_ID]],tblStudents[Student_ID],tblStudents[Class],"")</f>
        <v>B</v>
      </c>
      <c r="H203" t="s">
        <v>43</v>
      </c>
      <c r="I203" t="s">
        <v>113</v>
      </c>
      <c r="J203" t="s">
        <v>49</v>
      </c>
      <c r="K203">
        <v>4</v>
      </c>
      <c r="L203">
        <v>3.8</v>
      </c>
      <c r="M203" t="s">
        <v>52</v>
      </c>
      <c r="N203" t="s">
        <v>420</v>
      </c>
      <c r="O203">
        <v>77</v>
      </c>
      <c r="P203" t="s">
        <v>409</v>
      </c>
      <c r="Q203" s="20">
        <f>IF(tblStudyData[[#This Row],[Attendence_Status]]="Present",100%,IF(tblStudyData[[#This Row],[Attendence_Status]]="Late",80%,IF(tblStudyData[[#This Row],[Attendence_Status]]="Absent",0%,"")))</f>
        <v>0.8</v>
      </c>
      <c r="R203" t="s">
        <v>54</v>
      </c>
      <c r="S203" t="s">
        <v>59</v>
      </c>
      <c r="T203" t="s">
        <v>65</v>
      </c>
      <c r="U203" t="s">
        <v>411</v>
      </c>
      <c r="V203">
        <f>WEEKNUM(tblStudyData[[#This Row],[Date]],2)</f>
        <v>33</v>
      </c>
    </row>
    <row r="204" spans="1:22" x14ac:dyDescent="0.3">
      <c r="A204" t="s">
        <v>304</v>
      </c>
      <c r="B204" s="5">
        <v>46264</v>
      </c>
      <c r="C204" t="s">
        <v>26</v>
      </c>
      <c r="D204" t="str">
        <f>_xlfn.XLOOKUP(tblStudyData[[#This Row],[Student_ID]],tblStudents[Student_ID],tblStudents[Student_Name],"")</f>
        <v>Rahul</v>
      </c>
      <c r="E204" t="str">
        <f>_xlfn.XLOOKUP(tblStudyData[[#This Row],[Student_ID]],tblStudents[Student_ID],tblStudents[Gender],"")</f>
        <v>Male</v>
      </c>
      <c r="F204">
        <f>_xlfn.XLOOKUP(tblStudyData[[#This Row],[Student_ID]],tblStudents[Student_ID],tblStudents[Grade],"")</f>
        <v>10</v>
      </c>
      <c r="G204" t="str">
        <f>_xlfn.XLOOKUP(tblStudyData[[#This Row],[Student_ID]],tblStudents[Student_ID],tblStudents[Class],"")</f>
        <v>A</v>
      </c>
      <c r="H204" t="s">
        <v>43</v>
      </c>
      <c r="I204" t="s">
        <v>113</v>
      </c>
      <c r="J204" t="s">
        <v>51</v>
      </c>
      <c r="K204">
        <v>4</v>
      </c>
      <c r="L204">
        <v>2.5</v>
      </c>
      <c r="M204" t="s">
        <v>52</v>
      </c>
      <c r="N204" t="s">
        <v>420</v>
      </c>
      <c r="O204">
        <v>72</v>
      </c>
      <c r="P204" t="s">
        <v>412</v>
      </c>
      <c r="Q204" s="20">
        <v>1</v>
      </c>
      <c r="R204" t="s">
        <v>56</v>
      </c>
      <c r="S204" t="s">
        <v>59</v>
      </c>
      <c r="T204" t="s">
        <v>64</v>
      </c>
      <c r="U204" t="s">
        <v>413</v>
      </c>
      <c r="V204">
        <f>WEEKNUM(tblStudyData[[#This Row],[Date]],2)</f>
        <v>35</v>
      </c>
    </row>
    <row r="205" spans="1:22" x14ac:dyDescent="0.3">
      <c r="A205" t="s">
        <v>305</v>
      </c>
      <c r="B205" s="5">
        <v>46254</v>
      </c>
      <c r="C205" t="s">
        <v>66</v>
      </c>
      <c r="D205" t="str">
        <f>_xlfn.XLOOKUP(tblStudyData[[#This Row],[Student_ID]],tblStudents[Student_ID],tblStudents[Student_Name],"")</f>
        <v>Anjali</v>
      </c>
      <c r="E205" t="str">
        <f>_xlfn.XLOOKUP(tblStudyData[[#This Row],[Student_ID]],tblStudents[Student_ID],tblStudents[Gender],"")</f>
        <v>Female</v>
      </c>
      <c r="F205">
        <f>_xlfn.XLOOKUP(tblStudyData[[#This Row],[Student_ID]],tblStudents[Student_ID],tblStudents[Grade],"")</f>
        <v>11</v>
      </c>
      <c r="G205" t="str">
        <f>_xlfn.XLOOKUP(tblStudyData[[#This Row],[Student_ID]],tblStudents[Student_ID],tblStudents[Class],"")</f>
        <v>A</v>
      </c>
      <c r="H205" t="s">
        <v>43</v>
      </c>
      <c r="I205" t="s">
        <v>113</v>
      </c>
      <c r="J205" t="s">
        <v>50</v>
      </c>
      <c r="K205">
        <v>4</v>
      </c>
      <c r="L205">
        <v>2.8</v>
      </c>
      <c r="M205" t="s">
        <v>52</v>
      </c>
      <c r="N205" t="s">
        <v>420</v>
      </c>
      <c r="O205">
        <v>66</v>
      </c>
      <c r="P205" t="s">
        <v>412</v>
      </c>
      <c r="Q205" s="20">
        <v>1</v>
      </c>
      <c r="R205" t="s">
        <v>56</v>
      </c>
      <c r="S205" t="s">
        <v>90</v>
      </c>
      <c r="T205" t="s">
        <v>62</v>
      </c>
      <c r="U205" t="s">
        <v>413</v>
      </c>
      <c r="V205">
        <f>WEEKNUM(tblStudyData[[#This Row],[Date]],2)</f>
        <v>34</v>
      </c>
    </row>
    <row r="206" spans="1:22" x14ac:dyDescent="0.3">
      <c r="A206" t="s">
        <v>306</v>
      </c>
      <c r="B206" s="5">
        <v>46238</v>
      </c>
      <c r="C206" t="s">
        <v>72</v>
      </c>
      <c r="D206" t="str">
        <f>_xlfn.XLOOKUP(tblStudyData[[#This Row],[Student_ID]],tblStudents[Student_ID],tblStudents[Student_Name],"")</f>
        <v>Pooja</v>
      </c>
      <c r="E206" t="str">
        <f>_xlfn.XLOOKUP(tblStudyData[[#This Row],[Student_ID]],tblStudents[Student_ID],tblStudents[Gender],"")</f>
        <v>Female</v>
      </c>
      <c r="F206">
        <f>_xlfn.XLOOKUP(tblStudyData[[#This Row],[Student_ID]],tblStudents[Student_ID],tblStudents[Grade],"")</f>
        <v>12</v>
      </c>
      <c r="G206" t="str">
        <f>_xlfn.XLOOKUP(tblStudyData[[#This Row],[Student_ID]],tblStudents[Student_ID],tblStudents[Class],"")</f>
        <v>A</v>
      </c>
      <c r="H206" t="s">
        <v>41</v>
      </c>
      <c r="I206" t="s">
        <v>113</v>
      </c>
      <c r="J206" t="s">
        <v>49</v>
      </c>
      <c r="K206">
        <v>4</v>
      </c>
      <c r="L206">
        <v>3.1</v>
      </c>
      <c r="M206" t="s">
        <v>52</v>
      </c>
      <c r="N206" t="s">
        <v>420</v>
      </c>
      <c r="O206">
        <v>93</v>
      </c>
      <c r="P206" t="s">
        <v>53</v>
      </c>
      <c r="Q206" s="20">
        <f>IF(tblStudyData[[#This Row],[Attendence_Status]]="Present",100%,IF(tblStudyData[[#This Row],[Attendence_Status]]="Late",80%,IF(tblStudyData[[#This Row],[Attendence_Status]]="Absent",0%,"")))</f>
        <v>1</v>
      </c>
      <c r="R206" t="s">
        <v>55</v>
      </c>
      <c r="S206" t="s">
        <v>90</v>
      </c>
      <c r="T206" t="s">
        <v>64</v>
      </c>
      <c r="U206" t="s">
        <v>414</v>
      </c>
      <c r="V206">
        <f>WEEKNUM(tblStudyData[[#This Row],[Date]],2)</f>
        <v>32</v>
      </c>
    </row>
    <row r="207" spans="1:22" x14ac:dyDescent="0.3">
      <c r="A207" t="s">
        <v>307</v>
      </c>
      <c r="B207" s="5">
        <v>46258</v>
      </c>
      <c r="C207" t="s">
        <v>75</v>
      </c>
      <c r="D207" t="str">
        <f>_xlfn.XLOOKUP(tblStudyData[[#This Row],[Student_ID]],tblStudents[Student_ID],tblStudents[Student_Name],"")</f>
        <v>Akhil</v>
      </c>
      <c r="E207" t="str">
        <f>_xlfn.XLOOKUP(tblStudyData[[#This Row],[Student_ID]],tblStudents[Student_ID],tblStudents[Gender],"")</f>
        <v>Male</v>
      </c>
      <c r="F207">
        <f>_xlfn.XLOOKUP(tblStudyData[[#This Row],[Student_ID]],tblStudents[Student_ID],tblStudents[Grade],"")</f>
        <v>9</v>
      </c>
      <c r="G207" t="str">
        <f>_xlfn.XLOOKUP(tblStudyData[[#This Row],[Student_ID]],tblStudents[Student_ID],tblStudents[Class],"")</f>
        <v>A</v>
      </c>
      <c r="H207" t="s">
        <v>41</v>
      </c>
      <c r="I207" t="s">
        <v>113</v>
      </c>
      <c r="J207" t="s">
        <v>51</v>
      </c>
      <c r="K207">
        <v>3</v>
      </c>
      <c r="L207">
        <v>2.9</v>
      </c>
      <c r="M207" t="s">
        <v>52</v>
      </c>
      <c r="N207" t="s">
        <v>420</v>
      </c>
      <c r="O207">
        <v>85</v>
      </c>
      <c r="P207" t="s">
        <v>409</v>
      </c>
      <c r="Q207" s="20">
        <f>IF(tblStudyData[[#This Row],[Attendence_Status]]="Present",100%,IF(tblStudyData[[#This Row],[Attendence_Status]]="Late",80%,IF(tblStudyData[[#This Row],[Attendence_Status]]="Absent",0%,"")))</f>
        <v>0.8</v>
      </c>
      <c r="R207" t="s">
        <v>55</v>
      </c>
      <c r="S207" t="s">
        <v>60</v>
      </c>
      <c r="T207" t="s">
        <v>93</v>
      </c>
      <c r="U207" t="s">
        <v>411</v>
      </c>
      <c r="V207">
        <f>WEEKNUM(tblStudyData[[#This Row],[Date]],2)</f>
        <v>35</v>
      </c>
    </row>
    <row r="208" spans="1:22" x14ac:dyDescent="0.3">
      <c r="A208" t="s">
        <v>308</v>
      </c>
      <c r="B208" s="5">
        <v>46258</v>
      </c>
      <c r="C208" t="s">
        <v>66</v>
      </c>
      <c r="D208" t="str">
        <f>_xlfn.XLOOKUP(tblStudyData[[#This Row],[Student_ID]],tblStudents[Student_ID],tblStudents[Student_Name],"")</f>
        <v>Anjali</v>
      </c>
      <c r="E208" t="str">
        <f>_xlfn.XLOOKUP(tblStudyData[[#This Row],[Student_ID]],tblStudents[Student_ID],tblStudents[Gender],"")</f>
        <v>Female</v>
      </c>
      <c r="F208">
        <f>_xlfn.XLOOKUP(tblStudyData[[#This Row],[Student_ID]],tblStudents[Student_ID],tblStudents[Grade],"")</f>
        <v>11</v>
      </c>
      <c r="G208" t="str">
        <f>_xlfn.XLOOKUP(tblStudyData[[#This Row],[Student_ID]],tblStudents[Student_ID],tblStudents[Class],"")</f>
        <v>A</v>
      </c>
      <c r="H208" t="s">
        <v>41</v>
      </c>
      <c r="I208" t="s">
        <v>113</v>
      </c>
      <c r="J208" t="s">
        <v>51</v>
      </c>
      <c r="K208">
        <v>3</v>
      </c>
      <c r="L208">
        <v>3</v>
      </c>
      <c r="M208" t="s">
        <v>52</v>
      </c>
      <c r="N208" t="s">
        <v>420</v>
      </c>
      <c r="O208">
        <v>100</v>
      </c>
      <c r="P208" t="s">
        <v>409</v>
      </c>
      <c r="Q208" s="20">
        <f>IF(tblStudyData[[#This Row],[Attendence_Status]]="Present",100%,IF(tblStudyData[[#This Row],[Attendence_Status]]="Late",80%,IF(tblStudyData[[#This Row],[Attendence_Status]]="Absent",0%,"")))</f>
        <v>0.8</v>
      </c>
      <c r="R208" t="s">
        <v>55</v>
      </c>
      <c r="S208" t="s">
        <v>59</v>
      </c>
      <c r="T208" t="s">
        <v>61</v>
      </c>
      <c r="U208" t="s">
        <v>411</v>
      </c>
      <c r="V208">
        <f>WEEKNUM(tblStudyData[[#This Row],[Date]],2)</f>
        <v>35</v>
      </c>
    </row>
    <row r="209" spans="1:22" x14ac:dyDescent="0.3">
      <c r="A209" t="s">
        <v>309</v>
      </c>
      <c r="B209" s="5">
        <v>46251</v>
      </c>
      <c r="C209" t="s">
        <v>28</v>
      </c>
      <c r="D209" t="str">
        <f>_xlfn.XLOOKUP(tblStudyData[[#This Row],[Student_ID]],tblStudents[Student_ID],tblStudents[Student_Name],"")</f>
        <v>Arjun</v>
      </c>
      <c r="E209" t="str">
        <f>_xlfn.XLOOKUP(tblStudyData[[#This Row],[Student_ID]],tblStudents[Student_ID],tblStudents[Gender],"")</f>
        <v>Male</v>
      </c>
      <c r="F209">
        <f>_xlfn.XLOOKUP(tblStudyData[[#This Row],[Student_ID]],tblStudents[Student_ID],tblStudents[Grade],"")</f>
        <v>11</v>
      </c>
      <c r="G209" t="str">
        <f>_xlfn.XLOOKUP(tblStudyData[[#This Row],[Student_ID]],tblStudents[Student_ID],tblStudents[Class],"")</f>
        <v>B</v>
      </c>
      <c r="H209" t="s">
        <v>41</v>
      </c>
      <c r="I209" t="s">
        <v>113</v>
      </c>
      <c r="J209" t="s">
        <v>50</v>
      </c>
      <c r="K209">
        <v>3</v>
      </c>
      <c r="L209">
        <v>3</v>
      </c>
      <c r="M209" t="s">
        <v>52</v>
      </c>
      <c r="N209" t="s">
        <v>420</v>
      </c>
      <c r="O209">
        <v>86</v>
      </c>
      <c r="P209" t="s">
        <v>409</v>
      </c>
      <c r="Q209" s="20">
        <f>IF(tblStudyData[[#This Row],[Attendence_Status]]="Present",100%,IF(tblStudyData[[#This Row],[Attendence_Status]]="Late",80%,IF(tblStudyData[[#This Row],[Attendence_Status]]="Absent",0%,"")))</f>
        <v>0.8</v>
      </c>
      <c r="R209" t="s">
        <v>56</v>
      </c>
      <c r="S209" t="s">
        <v>60</v>
      </c>
      <c r="T209" t="s">
        <v>64</v>
      </c>
      <c r="U209" t="s">
        <v>411</v>
      </c>
      <c r="V209">
        <f>WEEKNUM(tblStudyData[[#This Row],[Date]],2)</f>
        <v>34</v>
      </c>
    </row>
    <row r="210" spans="1:22" x14ac:dyDescent="0.3">
      <c r="A210" t="s">
        <v>310</v>
      </c>
      <c r="B210" s="5">
        <v>46247</v>
      </c>
      <c r="C210" t="s">
        <v>30</v>
      </c>
      <c r="D210" t="str">
        <f>_xlfn.XLOOKUP(tblStudyData[[#This Row],[Student_ID]],tblStudents[Student_ID],tblStudents[Student_Name],"")</f>
        <v>Kiran</v>
      </c>
      <c r="E210" t="str">
        <f>_xlfn.XLOOKUP(tblStudyData[[#This Row],[Student_ID]],tblStudents[Student_ID],tblStudents[Gender],"")</f>
        <v>Male</v>
      </c>
      <c r="F210">
        <f>_xlfn.XLOOKUP(tblStudyData[[#This Row],[Student_ID]],tblStudents[Student_ID],tblStudents[Grade],"")</f>
        <v>12</v>
      </c>
      <c r="G210" t="str">
        <f>_xlfn.XLOOKUP(tblStudyData[[#This Row],[Student_ID]],tblStudents[Student_ID],tblStudents[Class],"")</f>
        <v>A</v>
      </c>
      <c r="H210" t="s">
        <v>41</v>
      </c>
      <c r="I210" t="s">
        <v>113</v>
      </c>
      <c r="J210" t="s">
        <v>49</v>
      </c>
      <c r="K210">
        <v>3</v>
      </c>
      <c r="L210">
        <v>2.9</v>
      </c>
      <c r="M210" t="s">
        <v>52</v>
      </c>
      <c r="N210" t="s">
        <v>420</v>
      </c>
      <c r="O210">
        <v>92</v>
      </c>
      <c r="P210" t="s">
        <v>53</v>
      </c>
      <c r="Q210" s="20">
        <f>IF(tblStudyData[[#This Row],[Attendence_Status]]="Present",100%,IF(tblStudyData[[#This Row],[Attendence_Status]]="Late",80%,IF(tblStudyData[[#This Row],[Attendence_Status]]="Absent",0%,"")))</f>
        <v>1</v>
      </c>
      <c r="R210" t="s">
        <v>56</v>
      </c>
      <c r="S210" t="s">
        <v>59</v>
      </c>
      <c r="T210" t="s">
        <v>63</v>
      </c>
      <c r="U210" t="s">
        <v>414</v>
      </c>
      <c r="V210">
        <f>WEEKNUM(tblStudyData[[#This Row],[Date]],2)</f>
        <v>33</v>
      </c>
    </row>
    <row r="211" spans="1:22" x14ac:dyDescent="0.3">
      <c r="A211" t="s">
        <v>311</v>
      </c>
      <c r="B211" s="5">
        <v>46262</v>
      </c>
      <c r="C211" t="s">
        <v>74</v>
      </c>
      <c r="D211" t="str">
        <f>_xlfn.XLOOKUP(tblStudyData[[#This Row],[Student_ID]],tblStudents[Student_ID],tblStudents[Student_Name],"")</f>
        <v>Kavya</v>
      </c>
      <c r="E211" t="str">
        <f>_xlfn.XLOOKUP(tblStudyData[[#This Row],[Student_ID]],tblStudents[Student_ID],tblStudents[Gender],"")</f>
        <v>Female</v>
      </c>
      <c r="F211">
        <f>_xlfn.XLOOKUP(tblStudyData[[#This Row],[Student_ID]],tblStudents[Student_ID],tblStudents[Grade],"")</f>
        <v>11</v>
      </c>
      <c r="G211" t="str">
        <f>_xlfn.XLOOKUP(tblStudyData[[#This Row],[Student_ID]],tblStudents[Student_ID],tblStudents[Class],"")</f>
        <v>A</v>
      </c>
      <c r="H211" t="s">
        <v>41</v>
      </c>
      <c r="I211" t="s">
        <v>113</v>
      </c>
      <c r="J211" t="s">
        <v>88</v>
      </c>
      <c r="K211">
        <v>1</v>
      </c>
      <c r="L211">
        <v>0.8</v>
      </c>
      <c r="M211" t="s">
        <v>52</v>
      </c>
      <c r="N211" t="s">
        <v>420</v>
      </c>
      <c r="O211">
        <v>92</v>
      </c>
      <c r="P211" t="s">
        <v>53</v>
      </c>
      <c r="Q211" s="20">
        <f>IF(tblStudyData[[#This Row],[Attendence_Status]]="Present",100%,IF(tblStudyData[[#This Row],[Attendence_Status]]="Late",80%,IF(tblStudyData[[#This Row],[Attendence_Status]]="Absent",0%,"")))</f>
        <v>1</v>
      </c>
      <c r="R211" t="s">
        <v>55</v>
      </c>
      <c r="S211" t="s">
        <v>90</v>
      </c>
      <c r="T211" t="s">
        <v>63</v>
      </c>
      <c r="U211" t="s">
        <v>414</v>
      </c>
      <c r="V211">
        <f>WEEKNUM(tblStudyData[[#This Row],[Date]],2)</f>
        <v>35</v>
      </c>
    </row>
    <row r="212" spans="1:22" x14ac:dyDescent="0.3">
      <c r="A212" t="s">
        <v>312</v>
      </c>
      <c r="B212" s="5">
        <v>46253</v>
      </c>
      <c r="C212" t="s">
        <v>71</v>
      </c>
      <c r="D212" t="str">
        <f>_xlfn.XLOOKUP(tblStudyData[[#This Row],[Student_ID]],tblStudents[Student_ID],tblStudents[Student_Name],"")</f>
        <v>Sai</v>
      </c>
      <c r="E212" t="str">
        <f>_xlfn.XLOOKUP(tblStudyData[[#This Row],[Student_ID]],tblStudents[Student_ID],tblStudents[Gender],"")</f>
        <v>Male</v>
      </c>
      <c r="F212">
        <f>_xlfn.XLOOKUP(tblStudyData[[#This Row],[Student_ID]],tblStudents[Student_ID],tblStudents[Grade],"")</f>
        <v>9</v>
      </c>
      <c r="G212" t="str">
        <f>_xlfn.XLOOKUP(tblStudyData[[#This Row],[Student_ID]],tblStudents[Student_ID],tblStudents[Class],"")</f>
        <v>B</v>
      </c>
      <c r="H212" t="s">
        <v>42</v>
      </c>
      <c r="I212" t="s">
        <v>113</v>
      </c>
      <c r="J212" t="s">
        <v>88</v>
      </c>
      <c r="K212">
        <v>2</v>
      </c>
      <c r="L212">
        <v>1.4</v>
      </c>
      <c r="M212" t="s">
        <v>52</v>
      </c>
      <c r="N212" t="s">
        <v>420</v>
      </c>
      <c r="O212">
        <v>73</v>
      </c>
      <c r="P212" t="s">
        <v>53</v>
      </c>
      <c r="Q212" s="20">
        <f>IF(tblStudyData[[#This Row],[Attendence_Status]]="Present",100%,IF(tblStudyData[[#This Row],[Attendence_Status]]="Late",80%,IF(tblStudyData[[#This Row],[Attendence_Status]]="Absent",0%,"")))</f>
        <v>1</v>
      </c>
      <c r="R212" t="s">
        <v>55</v>
      </c>
      <c r="S212" t="s">
        <v>90</v>
      </c>
      <c r="T212" t="s">
        <v>64</v>
      </c>
      <c r="U212" t="s">
        <v>411</v>
      </c>
      <c r="V212">
        <f>WEEKNUM(tblStudyData[[#This Row],[Date]],2)</f>
        <v>34</v>
      </c>
    </row>
    <row r="213" spans="1:22" x14ac:dyDescent="0.3">
      <c r="A213" t="s">
        <v>313</v>
      </c>
      <c r="B213" s="5">
        <v>46259</v>
      </c>
      <c r="C213" t="s">
        <v>75</v>
      </c>
      <c r="D213" t="str">
        <f>_xlfn.XLOOKUP(tblStudyData[[#This Row],[Student_ID]],tblStudents[Student_ID],tblStudents[Student_Name],"")</f>
        <v>Akhil</v>
      </c>
      <c r="E213" t="str">
        <f>_xlfn.XLOOKUP(tblStudyData[[#This Row],[Student_ID]],tblStudents[Student_ID],tblStudents[Gender],"")</f>
        <v>Male</v>
      </c>
      <c r="F213">
        <f>_xlfn.XLOOKUP(tblStudyData[[#This Row],[Student_ID]],tblStudents[Student_ID],tblStudents[Grade],"")</f>
        <v>9</v>
      </c>
      <c r="G213" t="str">
        <f>_xlfn.XLOOKUP(tblStudyData[[#This Row],[Student_ID]],tblStudents[Student_ID],tblStudents[Class],"")</f>
        <v>A</v>
      </c>
      <c r="H213" t="s">
        <v>42</v>
      </c>
      <c r="I213" t="s">
        <v>113</v>
      </c>
      <c r="J213" t="s">
        <v>88</v>
      </c>
      <c r="K213">
        <v>2</v>
      </c>
      <c r="L213">
        <v>1.5</v>
      </c>
      <c r="M213" t="s">
        <v>52</v>
      </c>
      <c r="N213" t="s">
        <v>420</v>
      </c>
      <c r="O213">
        <v>87</v>
      </c>
      <c r="P213" t="s">
        <v>53</v>
      </c>
      <c r="Q213" s="20">
        <f>IF(tblStudyData[[#This Row],[Attendence_Status]]="Present",100%,IF(tblStudyData[[#This Row],[Attendence_Status]]="Late",80%,IF(tblStudyData[[#This Row],[Attendence_Status]]="Absent",0%,"")))</f>
        <v>1</v>
      </c>
      <c r="R213" t="s">
        <v>56</v>
      </c>
      <c r="S213" t="s">
        <v>60</v>
      </c>
      <c r="T213" t="s">
        <v>63</v>
      </c>
      <c r="U213" t="s">
        <v>410</v>
      </c>
      <c r="V213">
        <f>WEEKNUM(tblStudyData[[#This Row],[Date]],2)</f>
        <v>35</v>
      </c>
    </row>
    <row r="214" spans="1:22" x14ac:dyDescent="0.3">
      <c r="A214" t="s">
        <v>314</v>
      </c>
      <c r="B214" s="5">
        <v>46252</v>
      </c>
      <c r="C214" t="s">
        <v>67</v>
      </c>
      <c r="D214" t="str">
        <f>_xlfn.XLOOKUP(tblStudyData[[#This Row],[Student_ID]],tblStudents[Student_ID],tblStudents[Student_Name],"")</f>
        <v>Rohit</v>
      </c>
      <c r="E214" t="str">
        <f>_xlfn.XLOOKUP(tblStudyData[[#This Row],[Student_ID]],tblStudents[Student_ID],tblStudents[Gender],"")</f>
        <v>Male</v>
      </c>
      <c r="F214">
        <f>_xlfn.XLOOKUP(tblStudyData[[#This Row],[Student_ID]],tblStudents[Student_ID],tblStudents[Grade],"")</f>
        <v>9</v>
      </c>
      <c r="G214" t="str">
        <f>_xlfn.XLOOKUP(tblStudyData[[#This Row],[Student_ID]],tblStudents[Student_ID],tblStudents[Class],"")</f>
        <v>A</v>
      </c>
      <c r="H214" t="s">
        <v>42</v>
      </c>
      <c r="I214" t="s">
        <v>113</v>
      </c>
      <c r="J214" t="s">
        <v>50</v>
      </c>
      <c r="K214">
        <v>4</v>
      </c>
      <c r="L214">
        <v>3.4</v>
      </c>
      <c r="M214" t="s">
        <v>52</v>
      </c>
      <c r="N214" t="s">
        <v>420</v>
      </c>
      <c r="O214">
        <v>72</v>
      </c>
      <c r="P214" t="s">
        <v>412</v>
      </c>
      <c r="Q214" s="20">
        <v>0.95</v>
      </c>
      <c r="R214" t="s">
        <v>54</v>
      </c>
      <c r="S214" t="s">
        <v>59</v>
      </c>
      <c r="T214" t="s">
        <v>64</v>
      </c>
      <c r="U214" t="s">
        <v>413</v>
      </c>
      <c r="V214">
        <f>WEEKNUM(tblStudyData[[#This Row],[Date]],2)</f>
        <v>34</v>
      </c>
    </row>
    <row r="215" spans="1:22" x14ac:dyDescent="0.3">
      <c r="A215" t="s">
        <v>315</v>
      </c>
      <c r="B215" s="5">
        <v>46251</v>
      </c>
      <c r="C215" t="s">
        <v>69</v>
      </c>
      <c r="D215" t="str">
        <f>_xlfn.XLOOKUP(tblStudyData[[#This Row],[Student_ID]],tblStudents[Student_ID],tblStudents[Student_Name],"")</f>
        <v>Vikaram</v>
      </c>
      <c r="E215" t="str">
        <f>_xlfn.XLOOKUP(tblStudyData[[#This Row],[Student_ID]],tblStudents[Student_ID],tblStudents[Gender],"")</f>
        <v>Male</v>
      </c>
      <c r="F215">
        <f>_xlfn.XLOOKUP(tblStudyData[[#This Row],[Student_ID]],tblStudents[Student_ID],tblStudents[Grade],"")</f>
        <v>10</v>
      </c>
      <c r="G215" t="str">
        <f>_xlfn.XLOOKUP(tblStudyData[[#This Row],[Student_ID]],tblStudents[Student_ID],tblStudents[Class],"")</f>
        <v>B</v>
      </c>
      <c r="H215" t="s">
        <v>42</v>
      </c>
      <c r="I215" t="s">
        <v>113</v>
      </c>
      <c r="J215" t="s">
        <v>50</v>
      </c>
      <c r="K215">
        <v>1</v>
      </c>
      <c r="L215">
        <v>1</v>
      </c>
      <c r="M215" t="s">
        <v>52</v>
      </c>
      <c r="N215" t="s">
        <v>420</v>
      </c>
      <c r="O215">
        <v>82</v>
      </c>
      <c r="P215" t="s">
        <v>412</v>
      </c>
      <c r="Q215" s="20">
        <v>0.88</v>
      </c>
      <c r="R215" t="s">
        <v>55</v>
      </c>
      <c r="S215" t="s">
        <v>90</v>
      </c>
      <c r="T215" t="s">
        <v>93</v>
      </c>
      <c r="U215" t="s">
        <v>413</v>
      </c>
      <c r="V215">
        <f>WEEKNUM(tblStudyData[[#This Row],[Date]],2)</f>
        <v>34</v>
      </c>
    </row>
    <row r="216" spans="1:22" x14ac:dyDescent="0.3">
      <c r="A216" t="s">
        <v>316</v>
      </c>
      <c r="B216" s="5">
        <v>46241</v>
      </c>
      <c r="C216" t="s">
        <v>66</v>
      </c>
      <c r="D216" t="str">
        <f>_xlfn.XLOOKUP(tblStudyData[[#This Row],[Student_ID]],tblStudents[Student_ID],tblStudents[Student_Name],"")</f>
        <v>Anjali</v>
      </c>
      <c r="E216" t="str">
        <f>_xlfn.XLOOKUP(tblStudyData[[#This Row],[Student_ID]],tblStudents[Student_ID],tblStudents[Gender],"")</f>
        <v>Female</v>
      </c>
      <c r="F216">
        <f>_xlfn.XLOOKUP(tblStudyData[[#This Row],[Student_ID]],tblStudents[Student_ID],tblStudents[Grade],"")</f>
        <v>11</v>
      </c>
      <c r="G216" t="str">
        <f>_xlfn.XLOOKUP(tblStudyData[[#This Row],[Student_ID]],tblStudents[Student_ID],tblStudents[Class],"")</f>
        <v>A</v>
      </c>
      <c r="H216" t="s">
        <v>42</v>
      </c>
      <c r="I216" t="s">
        <v>113</v>
      </c>
      <c r="J216" t="s">
        <v>51</v>
      </c>
      <c r="K216">
        <v>4</v>
      </c>
      <c r="L216">
        <v>3.7</v>
      </c>
      <c r="M216" t="s">
        <v>52</v>
      </c>
      <c r="N216" t="s">
        <v>420</v>
      </c>
      <c r="O216">
        <v>80</v>
      </c>
      <c r="P216" t="s">
        <v>53</v>
      </c>
      <c r="Q216" s="20">
        <f>IF(tblStudyData[[#This Row],[Attendence_Status]]="Present",100%,IF(tblStudyData[[#This Row],[Attendence_Status]]="Late",80%,IF(tblStudyData[[#This Row],[Attendence_Status]]="Absent",0%,"")))</f>
        <v>1</v>
      </c>
      <c r="R216" t="s">
        <v>56</v>
      </c>
      <c r="S216" t="s">
        <v>57</v>
      </c>
      <c r="T216" t="s">
        <v>64</v>
      </c>
      <c r="U216" t="s">
        <v>410</v>
      </c>
      <c r="V216">
        <f>WEEKNUM(tblStudyData[[#This Row],[Date]],2)</f>
        <v>32</v>
      </c>
    </row>
    <row r="217" spans="1:22" x14ac:dyDescent="0.3">
      <c r="A217" t="s">
        <v>317</v>
      </c>
      <c r="B217" s="5">
        <v>46264</v>
      </c>
      <c r="C217" t="s">
        <v>26</v>
      </c>
      <c r="D217" t="str">
        <f>_xlfn.XLOOKUP(tblStudyData[[#This Row],[Student_ID]],tblStudents[Student_ID],tblStudents[Student_Name],"")</f>
        <v>Rahul</v>
      </c>
      <c r="E217" t="str">
        <f>_xlfn.XLOOKUP(tblStudyData[[#This Row],[Student_ID]],tblStudents[Student_ID],tblStudents[Gender],"")</f>
        <v>Male</v>
      </c>
      <c r="F217">
        <f>_xlfn.XLOOKUP(tblStudyData[[#This Row],[Student_ID]],tblStudents[Student_ID],tblStudents[Grade],"")</f>
        <v>10</v>
      </c>
      <c r="G217" t="str">
        <f>_xlfn.XLOOKUP(tblStudyData[[#This Row],[Student_ID]],tblStudents[Student_ID],tblStudents[Class],"")</f>
        <v>A</v>
      </c>
      <c r="H217" t="s">
        <v>42</v>
      </c>
      <c r="I217" t="s">
        <v>113</v>
      </c>
      <c r="J217" t="s">
        <v>49</v>
      </c>
      <c r="K217">
        <v>4</v>
      </c>
      <c r="L217">
        <v>3.5</v>
      </c>
      <c r="M217" t="s">
        <v>52</v>
      </c>
      <c r="N217" t="s">
        <v>420</v>
      </c>
      <c r="O217">
        <v>92</v>
      </c>
      <c r="P217" t="s">
        <v>412</v>
      </c>
      <c r="Q217" s="20">
        <v>1</v>
      </c>
      <c r="R217" t="s">
        <v>54</v>
      </c>
      <c r="S217" t="s">
        <v>58</v>
      </c>
      <c r="T217" t="s">
        <v>63</v>
      </c>
      <c r="U217" t="s">
        <v>413</v>
      </c>
      <c r="V217">
        <f>WEEKNUM(tblStudyData[[#This Row],[Date]],2)</f>
        <v>35</v>
      </c>
    </row>
    <row r="218" spans="1:22" x14ac:dyDescent="0.3">
      <c r="A218" t="s">
        <v>318</v>
      </c>
      <c r="B218" s="5">
        <v>46243</v>
      </c>
      <c r="C218" t="s">
        <v>67</v>
      </c>
      <c r="D218" t="str">
        <f>_xlfn.XLOOKUP(tblStudyData[[#This Row],[Student_ID]],tblStudents[Student_ID],tblStudents[Student_Name],"")</f>
        <v>Rohit</v>
      </c>
      <c r="E218" t="str">
        <f>_xlfn.XLOOKUP(tblStudyData[[#This Row],[Student_ID]],tblStudents[Student_ID],tblStudents[Gender],"")</f>
        <v>Male</v>
      </c>
      <c r="F218">
        <f>_xlfn.XLOOKUP(tblStudyData[[#This Row],[Student_ID]],tblStudents[Student_ID],tblStudents[Grade],"")</f>
        <v>9</v>
      </c>
      <c r="G218" t="str">
        <f>_xlfn.XLOOKUP(tblStudyData[[#This Row],[Student_ID]],tblStudents[Student_ID],tblStudents[Class],"")</f>
        <v>A</v>
      </c>
      <c r="H218" t="s">
        <v>42</v>
      </c>
      <c r="I218" t="s">
        <v>113</v>
      </c>
      <c r="J218" t="s">
        <v>50</v>
      </c>
      <c r="K218">
        <v>4</v>
      </c>
      <c r="L218">
        <v>4</v>
      </c>
      <c r="M218" t="s">
        <v>52</v>
      </c>
      <c r="N218" t="s">
        <v>420</v>
      </c>
      <c r="O218">
        <v>93</v>
      </c>
      <c r="P218" t="s">
        <v>412</v>
      </c>
      <c r="Q218" s="20">
        <v>0.9</v>
      </c>
      <c r="R218" t="s">
        <v>54</v>
      </c>
      <c r="S218" t="s">
        <v>58</v>
      </c>
      <c r="T218" t="s">
        <v>64</v>
      </c>
      <c r="U218" t="s">
        <v>413</v>
      </c>
      <c r="V218">
        <f>WEEKNUM(tblStudyData[[#This Row],[Date]],2)</f>
        <v>32</v>
      </c>
    </row>
    <row r="219" spans="1:22" x14ac:dyDescent="0.3">
      <c r="A219" t="s">
        <v>319</v>
      </c>
      <c r="B219" s="5">
        <v>46239</v>
      </c>
      <c r="C219" t="s">
        <v>66</v>
      </c>
      <c r="D219" t="str">
        <f>_xlfn.XLOOKUP(tblStudyData[[#This Row],[Student_ID]],tblStudents[Student_ID],tblStudents[Student_Name],"")</f>
        <v>Anjali</v>
      </c>
      <c r="E219" t="str">
        <f>_xlfn.XLOOKUP(tblStudyData[[#This Row],[Student_ID]],tblStudents[Student_ID],tblStudents[Gender],"")</f>
        <v>Female</v>
      </c>
      <c r="F219">
        <f>_xlfn.XLOOKUP(tblStudyData[[#This Row],[Student_ID]],tblStudents[Student_ID],tblStudents[Grade],"")</f>
        <v>11</v>
      </c>
      <c r="G219" t="str">
        <f>_xlfn.XLOOKUP(tblStudyData[[#This Row],[Student_ID]],tblStudents[Student_ID],tblStudents[Class],"")</f>
        <v>A</v>
      </c>
      <c r="H219" t="s">
        <v>42</v>
      </c>
      <c r="I219" t="s">
        <v>113</v>
      </c>
      <c r="J219" t="s">
        <v>50</v>
      </c>
      <c r="K219">
        <v>1</v>
      </c>
      <c r="L219">
        <v>0.7</v>
      </c>
      <c r="M219" t="s">
        <v>52</v>
      </c>
      <c r="N219" t="s">
        <v>420</v>
      </c>
      <c r="O219">
        <v>84</v>
      </c>
      <c r="P219" t="s">
        <v>409</v>
      </c>
      <c r="Q219" s="20">
        <f>IF(tblStudyData[[#This Row],[Attendence_Status]]="Present",100%,IF(tblStudyData[[#This Row],[Attendence_Status]]="Late",80%,IF(tblStudyData[[#This Row],[Attendence_Status]]="Absent",0%,"")))</f>
        <v>0.8</v>
      </c>
      <c r="R219" t="s">
        <v>55</v>
      </c>
      <c r="S219" t="s">
        <v>59</v>
      </c>
      <c r="T219" t="s">
        <v>61</v>
      </c>
      <c r="U219" t="s">
        <v>411</v>
      </c>
      <c r="V219">
        <f>WEEKNUM(tblStudyData[[#This Row],[Date]],2)</f>
        <v>32</v>
      </c>
    </row>
    <row r="220" spans="1:22" x14ac:dyDescent="0.3">
      <c r="A220" t="s">
        <v>320</v>
      </c>
      <c r="B220" s="5">
        <v>46236</v>
      </c>
      <c r="C220" t="s">
        <v>27</v>
      </c>
      <c r="D220" t="str">
        <f>_xlfn.XLOOKUP(tblStudyData[[#This Row],[Student_ID]],tblStudents[Student_ID],tblStudents[Student_Name],"")</f>
        <v>Priya</v>
      </c>
      <c r="E220" t="str">
        <f>_xlfn.XLOOKUP(tblStudyData[[#This Row],[Student_ID]],tblStudents[Student_ID],tblStudents[Gender],"")</f>
        <v>Female</v>
      </c>
      <c r="F220">
        <f>_xlfn.XLOOKUP(tblStudyData[[#This Row],[Student_ID]],tblStudents[Student_ID],tblStudents[Grade],"")</f>
        <v>10</v>
      </c>
      <c r="G220" t="str">
        <f>_xlfn.XLOOKUP(tblStudyData[[#This Row],[Student_ID]],tblStudents[Student_ID],tblStudents[Class],"")</f>
        <v>A</v>
      </c>
      <c r="H220" t="s">
        <v>43</v>
      </c>
      <c r="I220" t="s">
        <v>113</v>
      </c>
      <c r="J220" t="s">
        <v>51</v>
      </c>
      <c r="K220">
        <v>2</v>
      </c>
      <c r="L220">
        <v>1.9</v>
      </c>
      <c r="M220" t="s">
        <v>52</v>
      </c>
      <c r="N220" t="s">
        <v>420</v>
      </c>
      <c r="O220">
        <v>84</v>
      </c>
      <c r="P220" t="s">
        <v>53</v>
      </c>
      <c r="Q220" s="20">
        <f>IF(tblStudyData[[#This Row],[Attendence_Status]]="Present",100%,IF(tblStudyData[[#This Row],[Attendence_Status]]="Late",80%,IF(tblStudyData[[#This Row],[Attendence_Status]]="Absent",0%,"")))</f>
        <v>1</v>
      </c>
      <c r="R220" t="s">
        <v>54</v>
      </c>
      <c r="S220" t="s">
        <v>91</v>
      </c>
      <c r="T220" t="s">
        <v>62</v>
      </c>
      <c r="U220" t="s">
        <v>410</v>
      </c>
      <c r="V220">
        <f>WEEKNUM(tblStudyData[[#This Row],[Date]],2)</f>
        <v>31</v>
      </c>
    </row>
    <row r="221" spans="1:22" x14ac:dyDescent="0.3">
      <c r="A221" t="s">
        <v>321</v>
      </c>
      <c r="B221" s="5">
        <v>46254</v>
      </c>
      <c r="C221" t="s">
        <v>71</v>
      </c>
      <c r="D221" t="str">
        <f>_xlfn.XLOOKUP(tblStudyData[[#This Row],[Student_ID]],tblStudents[Student_ID],tblStudents[Student_Name],"")</f>
        <v>Sai</v>
      </c>
      <c r="E221" t="str">
        <f>_xlfn.XLOOKUP(tblStudyData[[#This Row],[Student_ID]],tblStudents[Student_ID],tblStudents[Gender],"")</f>
        <v>Male</v>
      </c>
      <c r="F221">
        <f>_xlfn.XLOOKUP(tblStudyData[[#This Row],[Student_ID]],tblStudents[Student_ID],tblStudents[Grade],"")</f>
        <v>9</v>
      </c>
      <c r="G221" t="str">
        <f>_xlfn.XLOOKUP(tblStudyData[[#This Row],[Student_ID]],tblStudents[Student_ID],tblStudents[Class],"")</f>
        <v>B</v>
      </c>
      <c r="H221" t="s">
        <v>43</v>
      </c>
      <c r="I221" t="s">
        <v>113</v>
      </c>
      <c r="J221" t="s">
        <v>50</v>
      </c>
      <c r="K221">
        <v>4</v>
      </c>
      <c r="L221">
        <v>2.4</v>
      </c>
      <c r="M221" t="s">
        <v>52</v>
      </c>
      <c r="N221" t="s">
        <v>420</v>
      </c>
      <c r="O221">
        <v>80</v>
      </c>
      <c r="P221" t="s">
        <v>409</v>
      </c>
      <c r="Q221" s="20">
        <f>IF(tblStudyData[[#This Row],[Attendence_Status]]="Present",100%,IF(tblStudyData[[#This Row],[Attendence_Status]]="Late",80%,IF(tblStudyData[[#This Row],[Attendence_Status]]="Absent",0%,"")))</f>
        <v>0.8</v>
      </c>
      <c r="R221" t="s">
        <v>54</v>
      </c>
      <c r="S221" t="s">
        <v>90</v>
      </c>
      <c r="T221" t="s">
        <v>93</v>
      </c>
      <c r="U221" t="s">
        <v>410</v>
      </c>
      <c r="V221">
        <f>WEEKNUM(tblStudyData[[#This Row],[Date]],2)</f>
        <v>34</v>
      </c>
    </row>
    <row r="222" spans="1:22" x14ac:dyDescent="0.3">
      <c r="A222" t="s">
        <v>322</v>
      </c>
      <c r="B222" s="5">
        <v>46260</v>
      </c>
      <c r="C222" t="s">
        <v>28</v>
      </c>
      <c r="D222" t="str">
        <f>_xlfn.XLOOKUP(tblStudyData[[#This Row],[Student_ID]],tblStudents[Student_ID],tblStudents[Student_Name],"")</f>
        <v>Arjun</v>
      </c>
      <c r="E222" t="str">
        <f>_xlfn.XLOOKUP(tblStudyData[[#This Row],[Student_ID]],tblStudents[Student_ID],tblStudents[Gender],"")</f>
        <v>Male</v>
      </c>
      <c r="F222">
        <f>_xlfn.XLOOKUP(tblStudyData[[#This Row],[Student_ID]],tblStudents[Student_ID],tblStudents[Grade],"")</f>
        <v>11</v>
      </c>
      <c r="G222" t="str">
        <f>_xlfn.XLOOKUP(tblStudyData[[#This Row],[Student_ID]],tblStudents[Student_ID],tblStudents[Class],"")</f>
        <v>B</v>
      </c>
      <c r="H222" t="s">
        <v>43</v>
      </c>
      <c r="I222" t="s">
        <v>113</v>
      </c>
      <c r="J222" t="s">
        <v>51</v>
      </c>
      <c r="K222">
        <v>2</v>
      </c>
      <c r="L222">
        <v>1.5</v>
      </c>
      <c r="M222" t="s">
        <v>52</v>
      </c>
      <c r="N222" t="s">
        <v>420</v>
      </c>
      <c r="O222">
        <v>68</v>
      </c>
      <c r="P222" t="s">
        <v>412</v>
      </c>
      <c r="Q222" s="20">
        <v>0.78</v>
      </c>
      <c r="R222" t="s">
        <v>54</v>
      </c>
      <c r="S222" t="s">
        <v>59</v>
      </c>
      <c r="T222" t="s">
        <v>65</v>
      </c>
      <c r="U222" t="s">
        <v>413</v>
      </c>
      <c r="V222">
        <f>WEEKNUM(tblStudyData[[#This Row],[Date]],2)</f>
        <v>35</v>
      </c>
    </row>
    <row r="223" spans="1:22" x14ac:dyDescent="0.3">
      <c r="A223" t="s">
        <v>323</v>
      </c>
      <c r="B223" s="5">
        <v>46235</v>
      </c>
      <c r="C223" t="s">
        <v>72</v>
      </c>
      <c r="D223" t="str">
        <f>_xlfn.XLOOKUP(tblStudyData[[#This Row],[Student_ID]],tblStudents[Student_ID],tblStudents[Student_Name],"")</f>
        <v>Pooja</v>
      </c>
      <c r="E223" t="str">
        <f>_xlfn.XLOOKUP(tblStudyData[[#This Row],[Student_ID]],tblStudents[Student_ID],tblStudents[Gender],"")</f>
        <v>Female</v>
      </c>
      <c r="F223">
        <f>_xlfn.XLOOKUP(tblStudyData[[#This Row],[Student_ID]],tblStudents[Student_ID],tblStudents[Grade],"")</f>
        <v>12</v>
      </c>
      <c r="G223" t="str">
        <f>_xlfn.XLOOKUP(tblStudyData[[#This Row],[Student_ID]],tblStudents[Student_ID],tblStudents[Class],"")</f>
        <v>A</v>
      </c>
      <c r="H223" t="s">
        <v>43</v>
      </c>
      <c r="I223" t="s">
        <v>113</v>
      </c>
      <c r="J223" t="s">
        <v>50</v>
      </c>
      <c r="K223">
        <v>3</v>
      </c>
      <c r="L223">
        <v>2.4</v>
      </c>
      <c r="M223" t="s">
        <v>52</v>
      </c>
      <c r="N223" t="s">
        <v>420</v>
      </c>
      <c r="O223">
        <v>79</v>
      </c>
      <c r="P223" t="s">
        <v>412</v>
      </c>
      <c r="Q223" s="20">
        <v>0.88</v>
      </c>
      <c r="R223" t="s">
        <v>55</v>
      </c>
      <c r="S223" t="s">
        <v>91</v>
      </c>
      <c r="T223" t="s">
        <v>63</v>
      </c>
      <c r="U223" t="s">
        <v>413</v>
      </c>
      <c r="V223">
        <f>WEEKNUM(tblStudyData[[#This Row],[Date]],2)</f>
        <v>31</v>
      </c>
    </row>
    <row r="224" spans="1:22" x14ac:dyDescent="0.3">
      <c r="A224" t="s">
        <v>324</v>
      </c>
      <c r="B224" s="5">
        <v>46260</v>
      </c>
      <c r="C224" t="s">
        <v>73</v>
      </c>
      <c r="D224" t="str">
        <f>_xlfn.XLOOKUP(tblStudyData[[#This Row],[Student_ID]],tblStudents[Student_ID],tblStudents[Student_Name],"")</f>
        <v>Naveen</v>
      </c>
      <c r="E224" t="str">
        <f>_xlfn.XLOOKUP(tblStudyData[[#This Row],[Student_ID]],tblStudents[Student_ID],tblStudents[Gender],"")</f>
        <v>Male</v>
      </c>
      <c r="F224">
        <f>_xlfn.XLOOKUP(tblStudyData[[#This Row],[Student_ID]],tblStudents[Student_ID],tblStudents[Grade],"")</f>
        <v>10</v>
      </c>
      <c r="G224" t="str">
        <f>_xlfn.XLOOKUP(tblStudyData[[#This Row],[Student_ID]],tblStudents[Student_ID],tblStudents[Class],"")</f>
        <v>A</v>
      </c>
      <c r="H224" t="s">
        <v>43</v>
      </c>
      <c r="I224" t="s">
        <v>113</v>
      </c>
      <c r="J224" t="s">
        <v>50</v>
      </c>
      <c r="K224">
        <v>4</v>
      </c>
      <c r="L224">
        <v>3.3</v>
      </c>
      <c r="M224" t="s">
        <v>52</v>
      </c>
      <c r="N224" t="s">
        <v>420</v>
      </c>
      <c r="O224">
        <v>85</v>
      </c>
      <c r="P224" t="s">
        <v>409</v>
      </c>
      <c r="Q224" s="20">
        <f>IF(tblStudyData[[#This Row],[Attendence_Status]]="Present",100%,IF(tblStudyData[[#This Row],[Attendence_Status]]="Late",80%,IF(tblStudyData[[#This Row],[Attendence_Status]]="Absent",0%,"")))</f>
        <v>0.8</v>
      </c>
      <c r="R224" t="s">
        <v>55</v>
      </c>
      <c r="S224" t="s">
        <v>59</v>
      </c>
      <c r="T224" t="s">
        <v>64</v>
      </c>
      <c r="U224" t="s">
        <v>411</v>
      </c>
      <c r="V224">
        <f>WEEKNUM(tblStudyData[[#This Row],[Date]],2)</f>
        <v>35</v>
      </c>
    </row>
    <row r="225" spans="1:22" x14ac:dyDescent="0.3">
      <c r="A225" t="s">
        <v>325</v>
      </c>
      <c r="B225" s="5">
        <v>46258</v>
      </c>
      <c r="C225" t="s">
        <v>70</v>
      </c>
      <c r="D225" t="str">
        <f>_xlfn.XLOOKUP(tblStudyData[[#This Row],[Student_ID]],tblStudents[Student_ID],tblStudents[Student_Name],"")</f>
        <v>Neha</v>
      </c>
      <c r="E225" t="str">
        <f>_xlfn.XLOOKUP(tblStudyData[[#This Row],[Student_ID]],tblStudents[Student_ID],tblStudents[Gender],"")</f>
        <v>Female</v>
      </c>
      <c r="F225">
        <f>_xlfn.XLOOKUP(tblStudyData[[#This Row],[Student_ID]],tblStudents[Student_ID],tblStudents[Grade],"")</f>
        <v>11</v>
      </c>
      <c r="G225" t="str">
        <f>_xlfn.XLOOKUP(tblStudyData[[#This Row],[Student_ID]],tblStudents[Student_ID],tblStudents[Class],"")</f>
        <v>B</v>
      </c>
      <c r="H225" t="s">
        <v>43</v>
      </c>
      <c r="I225" t="s">
        <v>113</v>
      </c>
      <c r="J225" t="s">
        <v>51</v>
      </c>
      <c r="K225">
        <v>2</v>
      </c>
      <c r="L225">
        <v>1.3</v>
      </c>
      <c r="M225" t="s">
        <v>52</v>
      </c>
      <c r="N225" t="s">
        <v>420</v>
      </c>
      <c r="O225">
        <v>84</v>
      </c>
      <c r="P225" t="s">
        <v>412</v>
      </c>
      <c r="Q225" s="20">
        <v>0.78</v>
      </c>
      <c r="R225" t="s">
        <v>55</v>
      </c>
      <c r="S225" t="s">
        <v>90</v>
      </c>
      <c r="T225" t="s">
        <v>62</v>
      </c>
      <c r="U225" t="s">
        <v>413</v>
      </c>
      <c r="V225">
        <f>WEEKNUM(tblStudyData[[#This Row],[Date]],2)</f>
        <v>35</v>
      </c>
    </row>
    <row r="226" spans="1:22" x14ac:dyDescent="0.3">
      <c r="A226" t="s">
        <v>326</v>
      </c>
      <c r="B226" s="5">
        <v>46236</v>
      </c>
      <c r="C226" t="s">
        <v>73</v>
      </c>
      <c r="D226" t="str">
        <f>_xlfn.XLOOKUP(tblStudyData[[#This Row],[Student_ID]],tblStudents[Student_ID],tblStudents[Student_Name],"")</f>
        <v>Naveen</v>
      </c>
      <c r="E226" t="str">
        <f>_xlfn.XLOOKUP(tblStudyData[[#This Row],[Student_ID]],tblStudents[Student_ID],tblStudents[Gender],"")</f>
        <v>Male</v>
      </c>
      <c r="F226">
        <f>_xlfn.XLOOKUP(tblStudyData[[#This Row],[Student_ID]],tblStudents[Student_ID],tblStudents[Grade],"")</f>
        <v>10</v>
      </c>
      <c r="G226" t="str">
        <f>_xlfn.XLOOKUP(tblStudyData[[#This Row],[Student_ID]],tblStudents[Student_ID],tblStudents[Class],"")</f>
        <v>A</v>
      </c>
      <c r="H226" t="s">
        <v>43</v>
      </c>
      <c r="I226" t="s">
        <v>113</v>
      </c>
      <c r="J226" t="s">
        <v>49</v>
      </c>
      <c r="K226">
        <v>4</v>
      </c>
      <c r="L226">
        <v>3.2</v>
      </c>
      <c r="M226" t="s">
        <v>52</v>
      </c>
      <c r="N226" t="s">
        <v>420</v>
      </c>
      <c r="O226">
        <v>93</v>
      </c>
      <c r="P226" t="s">
        <v>409</v>
      </c>
      <c r="Q226" s="20">
        <f>IF(tblStudyData[[#This Row],[Attendence_Status]]="Present",100%,IF(tblStudyData[[#This Row],[Attendence_Status]]="Late",80%,IF(tblStudyData[[#This Row],[Attendence_Status]]="Absent",0%,"")))</f>
        <v>0.8</v>
      </c>
      <c r="R226" t="s">
        <v>55</v>
      </c>
      <c r="S226" t="s">
        <v>90</v>
      </c>
      <c r="T226" t="s">
        <v>61</v>
      </c>
      <c r="U226" t="s">
        <v>411</v>
      </c>
      <c r="V226">
        <f>WEEKNUM(tblStudyData[[#This Row],[Date]],2)</f>
        <v>31</v>
      </c>
    </row>
    <row r="227" spans="1:22" x14ac:dyDescent="0.3">
      <c r="A227" t="s">
        <v>327</v>
      </c>
      <c r="B227" s="5">
        <v>46256</v>
      </c>
      <c r="C227" t="s">
        <v>66</v>
      </c>
      <c r="D227" t="str">
        <f>_xlfn.XLOOKUP(tblStudyData[[#This Row],[Student_ID]],tblStudents[Student_ID],tblStudents[Student_Name],"")</f>
        <v>Anjali</v>
      </c>
      <c r="E227" t="str">
        <f>_xlfn.XLOOKUP(tblStudyData[[#This Row],[Student_ID]],tblStudents[Student_ID],tblStudents[Gender],"")</f>
        <v>Female</v>
      </c>
      <c r="F227">
        <f>_xlfn.XLOOKUP(tblStudyData[[#This Row],[Student_ID]],tblStudents[Student_ID],tblStudents[Grade],"")</f>
        <v>11</v>
      </c>
      <c r="G227" t="str">
        <f>_xlfn.XLOOKUP(tblStudyData[[#This Row],[Student_ID]],tblStudents[Student_ID],tblStudents[Class],"")</f>
        <v>A</v>
      </c>
      <c r="H227" t="s">
        <v>40</v>
      </c>
      <c r="I227" t="s">
        <v>113</v>
      </c>
      <c r="J227" t="s">
        <v>88</v>
      </c>
      <c r="K227">
        <v>4</v>
      </c>
      <c r="L227">
        <v>2.6</v>
      </c>
      <c r="M227" t="s">
        <v>52</v>
      </c>
      <c r="N227" t="s">
        <v>420</v>
      </c>
      <c r="O227">
        <v>61</v>
      </c>
      <c r="P227" t="s">
        <v>409</v>
      </c>
      <c r="Q227" s="20">
        <f>IF(tblStudyData[[#This Row],[Attendence_Status]]="Present",100%,IF(tblStudyData[[#This Row],[Attendence_Status]]="Late",80%,IF(tblStudyData[[#This Row],[Attendence_Status]]="Absent",0%,"")))</f>
        <v>0.8</v>
      </c>
      <c r="R227" t="s">
        <v>56</v>
      </c>
      <c r="S227" t="s">
        <v>57</v>
      </c>
      <c r="T227" t="s">
        <v>65</v>
      </c>
      <c r="U227" t="s">
        <v>413</v>
      </c>
      <c r="V227">
        <f>WEEKNUM(tblStudyData[[#This Row],[Date]],2)</f>
        <v>34</v>
      </c>
    </row>
    <row r="228" spans="1:22" x14ac:dyDescent="0.3">
      <c r="A228" t="s">
        <v>328</v>
      </c>
      <c r="B228" s="5">
        <v>46263</v>
      </c>
      <c r="C228" t="s">
        <v>71</v>
      </c>
      <c r="D228" t="str">
        <f>_xlfn.XLOOKUP(tblStudyData[[#This Row],[Student_ID]],tblStudents[Student_ID],tblStudents[Student_Name],"")</f>
        <v>Sai</v>
      </c>
      <c r="E228" t="str">
        <f>_xlfn.XLOOKUP(tblStudyData[[#This Row],[Student_ID]],tblStudents[Student_ID],tblStudents[Gender],"")</f>
        <v>Male</v>
      </c>
      <c r="F228">
        <f>_xlfn.XLOOKUP(tblStudyData[[#This Row],[Student_ID]],tblStudents[Student_ID],tblStudents[Grade],"")</f>
        <v>9</v>
      </c>
      <c r="G228" t="str">
        <f>_xlfn.XLOOKUP(tblStudyData[[#This Row],[Student_ID]],tblStudents[Student_ID],tblStudents[Class],"")</f>
        <v>B</v>
      </c>
      <c r="H228" t="s">
        <v>40</v>
      </c>
      <c r="I228" t="s">
        <v>113</v>
      </c>
      <c r="J228" t="s">
        <v>50</v>
      </c>
      <c r="K228">
        <v>2</v>
      </c>
      <c r="L228">
        <v>1.2</v>
      </c>
      <c r="M228" t="s">
        <v>52</v>
      </c>
      <c r="N228" t="s">
        <v>420</v>
      </c>
      <c r="O228">
        <v>78</v>
      </c>
      <c r="P228" t="s">
        <v>412</v>
      </c>
      <c r="Q228" s="20">
        <v>0.88</v>
      </c>
      <c r="R228" t="s">
        <v>56</v>
      </c>
      <c r="S228" t="s">
        <v>90</v>
      </c>
      <c r="T228" t="s">
        <v>65</v>
      </c>
      <c r="U228" t="s">
        <v>413</v>
      </c>
      <c r="V228">
        <f>WEEKNUM(tblStudyData[[#This Row],[Date]],2)</f>
        <v>35</v>
      </c>
    </row>
    <row r="229" spans="1:22" x14ac:dyDescent="0.3">
      <c r="A229" t="s">
        <v>329</v>
      </c>
      <c r="B229" s="5">
        <v>46247</v>
      </c>
      <c r="C229" t="s">
        <v>69</v>
      </c>
      <c r="D229" t="str">
        <f>_xlfn.XLOOKUP(tblStudyData[[#This Row],[Student_ID]],tblStudents[Student_ID],tblStudents[Student_Name],"")</f>
        <v>Vikaram</v>
      </c>
      <c r="E229" t="str">
        <f>_xlfn.XLOOKUP(tblStudyData[[#This Row],[Student_ID]],tblStudents[Student_ID],tblStudents[Gender],"")</f>
        <v>Male</v>
      </c>
      <c r="F229">
        <f>_xlfn.XLOOKUP(tblStudyData[[#This Row],[Student_ID]],tblStudents[Student_ID],tblStudents[Grade],"")</f>
        <v>10</v>
      </c>
      <c r="G229" t="str">
        <f>_xlfn.XLOOKUP(tblStudyData[[#This Row],[Student_ID]],tblStudents[Student_ID],tblStudents[Class],"")</f>
        <v>B</v>
      </c>
      <c r="H229" t="s">
        <v>40</v>
      </c>
      <c r="I229" t="s">
        <v>113</v>
      </c>
      <c r="J229" t="s">
        <v>49</v>
      </c>
      <c r="K229">
        <v>2</v>
      </c>
      <c r="L229">
        <v>1.4</v>
      </c>
      <c r="M229" t="s">
        <v>52</v>
      </c>
      <c r="N229" t="s">
        <v>420</v>
      </c>
      <c r="O229">
        <v>76</v>
      </c>
      <c r="P229" t="s">
        <v>412</v>
      </c>
      <c r="Q229" s="20">
        <v>1</v>
      </c>
      <c r="R229" t="s">
        <v>56</v>
      </c>
      <c r="S229" t="s">
        <v>59</v>
      </c>
      <c r="T229" t="s">
        <v>93</v>
      </c>
      <c r="U229" t="s">
        <v>413</v>
      </c>
      <c r="V229">
        <f>WEEKNUM(tblStudyData[[#This Row],[Date]],2)</f>
        <v>33</v>
      </c>
    </row>
    <row r="230" spans="1:22" x14ac:dyDescent="0.3">
      <c r="A230" t="s">
        <v>330</v>
      </c>
      <c r="B230" s="5">
        <v>46246</v>
      </c>
      <c r="C230" t="s">
        <v>72</v>
      </c>
      <c r="D230" t="str">
        <f>_xlfn.XLOOKUP(tblStudyData[[#This Row],[Student_ID]],tblStudents[Student_ID],tblStudents[Student_Name],"")</f>
        <v>Pooja</v>
      </c>
      <c r="E230" t="str">
        <f>_xlfn.XLOOKUP(tblStudyData[[#This Row],[Student_ID]],tblStudents[Student_ID],tblStudents[Gender],"")</f>
        <v>Female</v>
      </c>
      <c r="F230">
        <f>_xlfn.XLOOKUP(tblStudyData[[#This Row],[Student_ID]],tblStudents[Student_ID],tblStudents[Grade],"")</f>
        <v>12</v>
      </c>
      <c r="G230" t="str">
        <f>_xlfn.XLOOKUP(tblStudyData[[#This Row],[Student_ID]],tblStudents[Student_ID],tblStudents[Class],"")</f>
        <v>A</v>
      </c>
      <c r="H230" t="s">
        <v>40</v>
      </c>
      <c r="I230" t="s">
        <v>113</v>
      </c>
      <c r="J230" t="s">
        <v>49</v>
      </c>
      <c r="K230">
        <v>3</v>
      </c>
      <c r="L230">
        <v>2.6</v>
      </c>
      <c r="M230" t="s">
        <v>52</v>
      </c>
      <c r="N230" t="s">
        <v>420</v>
      </c>
      <c r="O230">
        <v>72</v>
      </c>
      <c r="P230" t="s">
        <v>412</v>
      </c>
      <c r="Q230" s="20">
        <v>0.78</v>
      </c>
      <c r="R230" t="s">
        <v>56</v>
      </c>
      <c r="S230" t="s">
        <v>90</v>
      </c>
      <c r="T230" t="s">
        <v>61</v>
      </c>
      <c r="U230" t="s">
        <v>413</v>
      </c>
      <c r="V230">
        <f>WEEKNUM(tblStudyData[[#This Row],[Date]],2)</f>
        <v>33</v>
      </c>
    </row>
    <row r="231" spans="1:22" x14ac:dyDescent="0.3">
      <c r="A231" t="s">
        <v>331</v>
      </c>
      <c r="B231" s="5">
        <v>46255</v>
      </c>
      <c r="C231" t="s">
        <v>27</v>
      </c>
      <c r="D231" t="str">
        <f>_xlfn.XLOOKUP(tblStudyData[[#This Row],[Student_ID]],tblStudents[Student_ID],tblStudents[Student_Name],"")</f>
        <v>Priya</v>
      </c>
      <c r="E231" t="str">
        <f>_xlfn.XLOOKUP(tblStudyData[[#This Row],[Student_ID]],tblStudents[Student_ID],tblStudents[Gender],"")</f>
        <v>Female</v>
      </c>
      <c r="F231">
        <f>_xlfn.XLOOKUP(tblStudyData[[#This Row],[Student_ID]],tblStudents[Student_ID],tblStudents[Grade],"")</f>
        <v>10</v>
      </c>
      <c r="G231" t="str">
        <f>_xlfn.XLOOKUP(tblStudyData[[#This Row],[Student_ID]],tblStudents[Student_ID],tblStudents[Class],"")</f>
        <v>A</v>
      </c>
      <c r="H231" t="s">
        <v>40</v>
      </c>
      <c r="I231" t="s">
        <v>113</v>
      </c>
      <c r="J231" t="s">
        <v>51</v>
      </c>
      <c r="K231">
        <v>4</v>
      </c>
      <c r="L231">
        <v>2.7</v>
      </c>
      <c r="M231" t="s">
        <v>52</v>
      </c>
      <c r="N231" t="s">
        <v>420</v>
      </c>
      <c r="O231">
        <v>79</v>
      </c>
      <c r="P231" t="s">
        <v>409</v>
      </c>
      <c r="Q231" s="20">
        <f>IF(tblStudyData[[#This Row],[Attendence_Status]]="Present",100%,IF(tblStudyData[[#This Row],[Attendence_Status]]="Late",80%,IF(tblStudyData[[#This Row],[Attendence_Status]]="Absent",0%,"")))</f>
        <v>0.8</v>
      </c>
      <c r="R231" t="s">
        <v>54</v>
      </c>
      <c r="S231" t="s">
        <v>91</v>
      </c>
      <c r="T231" t="s">
        <v>65</v>
      </c>
      <c r="U231" t="s">
        <v>411</v>
      </c>
      <c r="V231">
        <f>WEEKNUM(tblStudyData[[#This Row],[Date]],2)</f>
        <v>34</v>
      </c>
    </row>
    <row r="232" spans="1:22" x14ac:dyDescent="0.3">
      <c r="A232" t="s">
        <v>332</v>
      </c>
      <c r="B232" s="5">
        <v>46239</v>
      </c>
      <c r="C232" t="s">
        <v>26</v>
      </c>
      <c r="D232" t="str">
        <f>_xlfn.XLOOKUP(tblStudyData[[#This Row],[Student_ID]],tblStudents[Student_ID],tblStudents[Student_Name],"")</f>
        <v>Rahul</v>
      </c>
      <c r="E232" t="str">
        <f>_xlfn.XLOOKUP(tblStudyData[[#This Row],[Student_ID]],tblStudents[Student_ID],tblStudents[Gender],"")</f>
        <v>Male</v>
      </c>
      <c r="F232">
        <f>_xlfn.XLOOKUP(tblStudyData[[#This Row],[Student_ID]],tblStudents[Student_ID],tblStudents[Grade],"")</f>
        <v>10</v>
      </c>
      <c r="G232" t="str">
        <f>_xlfn.XLOOKUP(tblStudyData[[#This Row],[Student_ID]],tblStudents[Student_ID],tblStudents[Class],"")</f>
        <v>A</v>
      </c>
      <c r="H232" t="s">
        <v>40</v>
      </c>
      <c r="I232" t="s">
        <v>113</v>
      </c>
      <c r="J232" t="s">
        <v>51</v>
      </c>
      <c r="K232">
        <v>4</v>
      </c>
      <c r="L232">
        <v>2.7</v>
      </c>
      <c r="M232" t="s">
        <v>52</v>
      </c>
      <c r="N232" t="s">
        <v>420</v>
      </c>
      <c r="O232">
        <v>86</v>
      </c>
      <c r="P232" t="s">
        <v>53</v>
      </c>
      <c r="Q232" s="20">
        <f>IF(tblStudyData[[#This Row],[Attendence_Status]]="Present",100%,IF(tblStudyData[[#This Row],[Attendence_Status]]="Late",80%,IF(tblStudyData[[#This Row],[Attendence_Status]]="Absent",0%,"")))</f>
        <v>1</v>
      </c>
      <c r="R232" t="s">
        <v>54</v>
      </c>
      <c r="S232" t="s">
        <v>58</v>
      </c>
      <c r="T232" t="s">
        <v>65</v>
      </c>
      <c r="U232" t="s">
        <v>410</v>
      </c>
      <c r="V232">
        <f>WEEKNUM(tblStudyData[[#This Row],[Date]],2)</f>
        <v>32</v>
      </c>
    </row>
    <row r="233" spans="1:22" x14ac:dyDescent="0.3">
      <c r="A233" t="s">
        <v>333</v>
      </c>
      <c r="B233" s="5">
        <v>46235</v>
      </c>
      <c r="C233" t="s">
        <v>66</v>
      </c>
      <c r="D233" t="str">
        <f>_xlfn.XLOOKUP(tblStudyData[[#This Row],[Student_ID]],tblStudents[Student_ID],tblStudents[Student_Name],"")</f>
        <v>Anjali</v>
      </c>
      <c r="E233" t="str">
        <f>_xlfn.XLOOKUP(tblStudyData[[#This Row],[Student_ID]],tblStudents[Student_ID],tblStudents[Gender],"")</f>
        <v>Female</v>
      </c>
      <c r="F233">
        <f>_xlfn.XLOOKUP(tblStudyData[[#This Row],[Student_ID]],tblStudents[Student_ID],tblStudents[Grade],"")</f>
        <v>11</v>
      </c>
      <c r="G233" t="str">
        <f>_xlfn.XLOOKUP(tblStudyData[[#This Row],[Student_ID]],tblStudents[Student_ID],tblStudents[Class],"")</f>
        <v>A</v>
      </c>
      <c r="H233" t="s">
        <v>43</v>
      </c>
      <c r="I233" t="s">
        <v>113</v>
      </c>
      <c r="J233" t="s">
        <v>50</v>
      </c>
      <c r="K233">
        <v>2</v>
      </c>
      <c r="L233">
        <v>1.2</v>
      </c>
      <c r="M233" t="s">
        <v>52</v>
      </c>
      <c r="N233" t="s">
        <v>420</v>
      </c>
      <c r="O233">
        <v>68</v>
      </c>
      <c r="P233" t="s">
        <v>409</v>
      </c>
      <c r="Q233" s="20">
        <f>IF(tblStudyData[[#This Row],[Attendence_Status]]="Present",100%,IF(tblStudyData[[#This Row],[Attendence_Status]]="Late",80%,IF(tblStudyData[[#This Row],[Attendence_Status]]="Absent",0%,"")))</f>
        <v>0.8</v>
      </c>
      <c r="R233" t="s">
        <v>56</v>
      </c>
      <c r="S233" t="s">
        <v>57</v>
      </c>
      <c r="T233" t="s">
        <v>61</v>
      </c>
      <c r="U233" t="s">
        <v>413</v>
      </c>
      <c r="V233">
        <f>WEEKNUM(tblStudyData[[#This Row],[Date]],2)</f>
        <v>31</v>
      </c>
    </row>
    <row r="234" spans="1:22" x14ac:dyDescent="0.3">
      <c r="A234" t="s">
        <v>334</v>
      </c>
      <c r="B234" s="5">
        <v>46239</v>
      </c>
      <c r="C234" t="s">
        <v>72</v>
      </c>
      <c r="D234" t="str">
        <f>_xlfn.XLOOKUP(tblStudyData[[#This Row],[Student_ID]],tblStudents[Student_ID],tblStudents[Student_Name],"")</f>
        <v>Pooja</v>
      </c>
      <c r="E234" t="str">
        <f>_xlfn.XLOOKUP(tblStudyData[[#This Row],[Student_ID]],tblStudents[Student_ID],tblStudents[Gender],"")</f>
        <v>Female</v>
      </c>
      <c r="F234">
        <f>_xlfn.XLOOKUP(tblStudyData[[#This Row],[Student_ID]],tblStudents[Student_ID],tblStudents[Grade],"")</f>
        <v>12</v>
      </c>
      <c r="G234" t="str">
        <f>_xlfn.XLOOKUP(tblStudyData[[#This Row],[Student_ID]],tblStudents[Student_ID],tblStudents[Class],"")</f>
        <v>A</v>
      </c>
      <c r="H234" t="s">
        <v>43</v>
      </c>
      <c r="I234" t="s">
        <v>113</v>
      </c>
      <c r="J234" t="s">
        <v>51</v>
      </c>
      <c r="K234">
        <v>3</v>
      </c>
      <c r="L234">
        <v>2.2999999999999998</v>
      </c>
      <c r="M234" t="s">
        <v>52</v>
      </c>
      <c r="N234" t="s">
        <v>420</v>
      </c>
      <c r="O234">
        <v>81</v>
      </c>
      <c r="P234" t="s">
        <v>409</v>
      </c>
      <c r="Q234" s="20">
        <f>IF(tblStudyData[[#This Row],[Attendence_Status]]="Present",100%,IF(tblStudyData[[#This Row],[Attendence_Status]]="Late",80%,IF(tblStudyData[[#This Row],[Attendence_Status]]="Absent",0%,"")))</f>
        <v>0.8</v>
      </c>
      <c r="R234" t="s">
        <v>56</v>
      </c>
      <c r="S234" t="s">
        <v>59</v>
      </c>
      <c r="T234" t="s">
        <v>64</v>
      </c>
      <c r="U234" t="s">
        <v>411</v>
      </c>
      <c r="V234">
        <f>WEEKNUM(tblStudyData[[#This Row],[Date]],2)</f>
        <v>32</v>
      </c>
    </row>
    <row r="235" spans="1:22" x14ac:dyDescent="0.3">
      <c r="A235" t="s">
        <v>335</v>
      </c>
      <c r="B235" s="5">
        <v>46242</v>
      </c>
      <c r="C235" t="s">
        <v>26</v>
      </c>
      <c r="D235" t="str">
        <f>_xlfn.XLOOKUP(tblStudyData[[#This Row],[Student_ID]],tblStudents[Student_ID],tblStudents[Student_Name],"")</f>
        <v>Rahul</v>
      </c>
      <c r="E235" t="str">
        <f>_xlfn.XLOOKUP(tblStudyData[[#This Row],[Student_ID]],tblStudents[Student_ID],tblStudents[Gender],"")</f>
        <v>Male</v>
      </c>
      <c r="F235">
        <f>_xlfn.XLOOKUP(tblStudyData[[#This Row],[Student_ID]],tblStudents[Student_ID],tblStudents[Grade],"")</f>
        <v>10</v>
      </c>
      <c r="G235" t="str">
        <f>_xlfn.XLOOKUP(tblStudyData[[#This Row],[Student_ID]],tblStudents[Student_ID],tblStudents[Class],"")</f>
        <v>A</v>
      </c>
      <c r="H235" t="s">
        <v>43</v>
      </c>
      <c r="I235" t="s">
        <v>113</v>
      </c>
      <c r="J235" t="s">
        <v>49</v>
      </c>
      <c r="K235">
        <v>1</v>
      </c>
      <c r="L235">
        <v>0.8</v>
      </c>
      <c r="M235" t="s">
        <v>52</v>
      </c>
      <c r="N235" t="s">
        <v>420</v>
      </c>
      <c r="O235">
        <v>75</v>
      </c>
      <c r="P235" t="s">
        <v>409</v>
      </c>
      <c r="Q235" s="20">
        <f>IF(tblStudyData[[#This Row],[Attendence_Status]]="Present",100%,IF(tblStudyData[[#This Row],[Attendence_Status]]="Late",80%,IF(tblStudyData[[#This Row],[Attendence_Status]]="Absent",0%,"")))</f>
        <v>0.8</v>
      </c>
      <c r="R235" t="s">
        <v>54</v>
      </c>
      <c r="S235" t="s">
        <v>57</v>
      </c>
      <c r="T235" t="s">
        <v>61</v>
      </c>
      <c r="U235" t="s">
        <v>411</v>
      </c>
      <c r="V235">
        <f>WEEKNUM(tblStudyData[[#This Row],[Date]],2)</f>
        <v>32</v>
      </c>
    </row>
    <row r="236" spans="1:22" x14ac:dyDescent="0.3">
      <c r="A236" t="s">
        <v>336</v>
      </c>
      <c r="B236" s="5">
        <v>46244</v>
      </c>
      <c r="C236" t="s">
        <v>28</v>
      </c>
      <c r="D236" t="str">
        <f>_xlfn.XLOOKUP(tblStudyData[[#This Row],[Student_ID]],tblStudents[Student_ID],tblStudents[Student_Name],"")</f>
        <v>Arjun</v>
      </c>
      <c r="E236" t="str">
        <f>_xlfn.XLOOKUP(tblStudyData[[#This Row],[Student_ID]],tblStudents[Student_ID],tblStudents[Gender],"")</f>
        <v>Male</v>
      </c>
      <c r="F236">
        <f>_xlfn.XLOOKUP(tblStudyData[[#This Row],[Student_ID]],tblStudents[Student_ID],tblStudents[Grade],"")</f>
        <v>11</v>
      </c>
      <c r="G236" t="str">
        <f>_xlfn.XLOOKUP(tblStudyData[[#This Row],[Student_ID]],tblStudents[Student_ID],tblStudents[Class],"")</f>
        <v>B</v>
      </c>
      <c r="H236" t="s">
        <v>43</v>
      </c>
      <c r="I236" t="s">
        <v>113</v>
      </c>
      <c r="J236" t="s">
        <v>51</v>
      </c>
      <c r="K236">
        <v>3</v>
      </c>
      <c r="L236">
        <v>2</v>
      </c>
      <c r="M236" t="s">
        <v>52</v>
      </c>
      <c r="N236" t="s">
        <v>420</v>
      </c>
      <c r="O236">
        <v>63</v>
      </c>
      <c r="P236" t="s">
        <v>412</v>
      </c>
      <c r="Q236" s="20">
        <v>0.79</v>
      </c>
      <c r="R236" t="s">
        <v>55</v>
      </c>
      <c r="S236" t="s">
        <v>57</v>
      </c>
      <c r="T236" t="s">
        <v>93</v>
      </c>
      <c r="U236" t="s">
        <v>413</v>
      </c>
      <c r="V236">
        <f>WEEKNUM(tblStudyData[[#This Row],[Date]],2)</f>
        <v>33</v>
      </c>
    </row>
    <row r="237" spans="1:22" x14ac:dyDescent="0.3">
      <c r="A237" t="s">
        <v>337</v>
      </c>
      <c r="B237" s="5">
        <v>46256</v>
      </c>
      <c r="C237" t="s">
        <v>68</v>
      </c>
      <c r="D237" t="str">
        <f>_xlfn.XLOOKUP(tblStudyData[[#This Row],[Student_ID]],tblStudents[Student_ID],tblStudents[Student_Name],"")</f>
        <v>Divya</v>
      </c>
      <c r="E237" t="str">
        <f>_xlfn.XLOOKUP(tblStudyData[[#This Row],[Student_ID]],tblStudents[Student_ID],tblStudents[Gender],"")</f>
        <v>Female</v>
      </c>
      <c r="F237">
        <f>_xlfn.XLOOKUP(tblStudyData[[#This Row],[Student_ID]],tblStudents[Student_ID],tblStudents[Grade],"")</f>
        <v>12</v>
      </c>
      <c r="G237" t="str">
        <f>_xlfn.XLOOKUP(tblStudyData[[#This Row],[Student_ID]],tblStudents[Student_ID],tblStudents[Class],"")</f>
        <v>B</v>
      </c>
      <c r="H237" t="s">
        <v>41</v>
      </c>
      <c r="I237" t="s">
        <v>113</v>
      </c>
      <c r="J237" t="s">
        <v>49</v>
      </c>
      <c r="K237">
        <v>4</v>
      </c>
      <c r="L237">
        <v>3.6</v>
      </c>
      <c r="M237" t="s">
        <v>52</v>
      </c>
      <c r="N237" t="s">
        <v>420</v>
      </c>
      <c r="O237">
        <v>95</v>
      </c>
      <c r="P237" t="s">
        <v>412</v>
      </c>
      <c r="Q237" s="20">
        <v>0.75</v>
      </c>
      <c r="R237" t="s">
        <v>54</v>
      </c>
      <c r="S237" t="s">
        <v>90</v>
      </c>
      <c r="T237" t="s">
        <v>65</v>
      </c>
      <c r="U237" t="s">
        <v>413</v>
      </c>
      <c r="V237">
        <f>WEEKNUM(tblStudyData[[#This Row],[Date]],2)</f>
        <v>34</v>
      </c>
    </row>
    <row r="238" spans="1:22" x14ac:dyDescent="0.3">
      <c r="A238" t="s">
        <v>338</v>
      </c>
      <c r="B238" s="5">
        <v>46245</v>
      </c>
      <c r="C238" t="s">
        <v>72</v>
      </c>
      <c r="D238" t="str">
        <f>_xlfn.XLOOKUP(tblStudyData[[#This Row],[Student_ID]],tblStudents[Student_ID],tblStudents[Student_Name],"")</f>
        <v>Pooja</v>
      </c>
      <c r="E238" t="str">
        <f>_xlfn.XLOOKUP(tblStudyData[[#This Row],[Student_ID]],tblStudents[Student_ID],tblStudents[Gender],"")</f>
        <v>Female</v>
      </c>
      <c r="F238">
        <f>_xlfn.XLOOKUP(tblStudyData[[#This Row],[Student_ID]],tblStudents[Student_ID],tblStudents[Grade],"")</f>
        <v>12</v>
      </c>
      <c r="G238" t="str">
        <f>_xlfn.XLOOKUP(tblStudyData[[#This Row],[Student_ID]],tblStudents[Student_ID],tblStudents[Class],"")</f>
        <v>A</v>
      </c>
      <c r="H238" t="s">
        <v>41</v>
      </c>
      <c r="I238" t="s">
        <v>113</v>
      </c>
      <c r="J238" t="s">
        <v>49</v>
      </c>
      <c r="K238">
        <v>2</v>
      </c>
      <c r="L238">
        <v>1.8</v>
      </c>
      <c r="M238" t="s">
        <v>52</v>
      </c>
      <c r="N238" t="s">
        <v>420</v>
      </c>
      <c r="O238">
        <v>81</v>
      </c>
      <c r="P238" t="s">
        <v>412</v>
      </c>
      <c r="Q238" s="20">
        <v>1</v>
      </c>
      <c r="R238" t="s">
        <v>55</v>
      </c>
      <c r="S238" t="s">
        <v>59</v>
      </c>
      <c r="T238" t="s">
        <v>63</v>
      </c>
      <c r="U238" t="s">
        <v>413</v>
      </c>
      <c r="V238">
        <f>WEEKNUM(tblStudyData[[#This Row],[Date]],2)</f>
        <v>33</v>
      </c>
    </row>
    <row r="239" spans="1:22" x14ac:dyDescent="0.3">
      <c r="A239" t="s">
        <v>339</v>
      </c>
      <c r="B239" s="5">
        <v>46243</v>
      </c>
      <c r="C239" t="s">
        <v>68</v>
      </c>
      <c r="D239" t="str">
        <f>_xlfn.XLOOKUP(tblStudyData[[#This Row],[Student_ID]],tblStudents[Student_ID],tblStudents[Student_Name],"")</f>
        <v>Divya</v>
      </c>
      <c r="E239" t="str">
        <f>_xlfn.XLOOKUP(tblStudyData[[#This Row],[Student_ID]],tblStudents[Student_ID],tblStudents[Gender],"")</f>
        <v>Female</v>
      </c>
      <c r="F239">
        <f>_xlfn.XLOOKUP(tblStudyData[[#This Row],[Student_ID]],tblStudents[Student_ID],tblStudents[Grade],"")</f>
        <v>12</v>
      </c>
      <c r="G239" t="str">
        <f>_xlfn.XLOOKUP(tblStudyData[[#This Row],[Student_ID]],tblStudents[Student_ID],tblStudents[Class],"")</f>
        <v>B</v>
      </c>
      <c r="H239" t="s">
        <v>41</v>
      </c>
      <c r="I239" t="s">
        <v>113</v>
      </c>
      <c r="J239" t="s">
        <v>50</v>
      </c>
      <c r="K239">
        <v>2</v>
      </c>
      <c r="L239">
        <v>1.3</v>
      </c>
      <c r="M239" t="s">
        <v>52</v>
      </c>
      <c r="N239" t="s">
        <v>420</v>
      </c>
      <c r="O239">
        <v>87</v>
      </c>
      <c r="P239" t="s">
        <v>409</v>
      </c>
      <c r="Q239" s="20">
        <f>IF(tblStudyData[[#This Row],[Attendence_Status]]="Present",100%,IF(tblStudyData[[#This Row],[Attendence_Status]]="Late",80%,IF(tblStudyData[[#This Row],[Attendence_Status]]="Absent",0%,"")))</f>
        <v>0.8</v>
      </c>
      <c r="R239" t="s">
        <v>55</v>
      </c>
      <c r="S239" t="s">
        <v>58</v>
      </c>
      <c r="T239" t="s">
        <v>93</v>
      </c>
      <c r="U239" t="s">
        <v>411</v>
      </c>
      <c r="V239">
        <f>WEEKNUM(tblStudyData[[#This Row],[Date]],2)</f>
        <v>32</v>
      </c>
    </row>
    <row r="240" spans="1:22" x14ac:dyDescent="0.3">
      <c r="A240" t="s">
        <v>340</v>
      </c>
      <c r="B240" s="5">
        <v>46238</v>
      </c>
      <c r="C240" t="s">
        <v>71</v>
      </c>
      <c r="D240" t="str">
        <f>_xlfn.XLOOKUP(tblStudyData[[#This Row],[Student_ID]],tblStudents[Student_ID],tblStudents[Student_Name],"")</f>
        <v>Sai</v>
      </c>
      <c r="E240" t="str">
        <f>_xlfn.XLOOKUP(tblStudyData[[#This Row],[Student_ID]],tblStudents[Student_ID],tblStudents[Gender],"")</f>
        <v>Male</v>
      </c>
      <c r="F240">
        <f>_xlfn.XLOOKUP(tblStudyData[[#This Row],[Student_ID]],tblStudents[Student_ID],tblStudents[Grade],"")</f>
        <v>9</v>
      </c>
      <c r="G240" t="str">
        <f>_xlfn.XLOOKUP(tblStudyData[[#This Row],[Student_ID]],tblStudents[Student_ID],tblStudents[Class],"")</f>
        <v>B</v>
      </c>
      <c r="H240" t="s">
        <v>41</v>
      </c>
      <c r="I240" t="s">
        <v>113</v>
      </c>
      <c r="J240" t="s">
        <v>50</v>
      </c>
      <c r="K240">
        <v>1</v>
      </c>
      <c r="L240">
        <v>0.9</v>
      </c>
      <c r="M240" t="s">
        <v>52</v>
      </c>
      <c r="N240" t="s">
        <v>420</v>
      </c>
      <c r="O240">
        <v>78</v>
      </c>
      <c r="P240" t="s">
        <v>409</v>
      </c>
      <c r="Q240" s="20">
        <f>IF(tblStudyData[[#This Row],[Attendence_Status]]="Present",100%,IF(tblStudyData[[#This Row],[Attendence_Status]]="Late",80%,IF(tblStudyData[[#This Row],[Attendence_Status]]="Absent",0%,"")))</f>
        <v>0.8</v>
      </c>
      <c r="R240" t="s">
        <v>54</v>
      </c>
      <c r="S240" t="s">
        <v>58</v>
      </c>
      <c r="T240" t="s">
        <v>93</v>
      </c>
      <c r="U240" t="s">
        <v>411</v>
      </c>
      <c r="V240">
        <f>WEEKNUM(tblStudyData[[#This Row],[Date]],2)</f>
        <v>32</v>
      </c>
    </row>
    <row r="241" spans="1:22" x14ac:dyDescent="0.3">
      <c r="A241" t="s">
        <v>341</v>
      </c>
      <c r="B241" s="5">
        <v>46261</v>
      </c>
      <c r="C241" t="s">
        <v>69</v>
      </c>
      <c r="D241" t="str">
        <f>_xlfn.XLOOKUP(tblStudyData[[#This Row],[Student_ID]],tblStudents[Student_ID],tblStudents[Student_Name],"")</f>
        <v>Vikaram</v>
      </c>
      <c r="E241" t="str">
        <f>_xlfn.XLOOKUP(tblStudyData[[#This Row],[Student_ID]],tblStudents[Student_ID],tblStudents[Gender],"")</f>
        <v>Male</v>
      </c>
      <c r="F241">
        <f>_xlfn.XLOOKUP(tblStudyData[[#This Row],[Student_ID]],tblStudents[Student_ID],tblStudents[Grade],"")</f>
        <v>10</v>
      </c>
      <c r="G241" t="str">
        <f>_xlfn.XLOOKUP(tblStudyData[[#This Row],[Student_ID]],tblStudents[Student_ID],tblStudents[Class],"")</f>
        <v>B</v>
      </c>
      <c r="H241" t="s">
        <v>41</v>
      </c>
      <c r="I241" t="s">
        <v>113</v>
      </c>
      <c r="J241" t="s">
        <v>51</v>
      </c>
      <c r="K241">
        <v>3</v>
      </c>
      <c r="L241">
        <v>2.8</v>
      </c>
      <c r="M241" t="s">
        <v>52</v>
      </c>
      <c r="N241" t="s">
        <v>420</v>
      </c>
      <c r="O241">
        <v>91</v>
      </c>
      <c r="P241" t="s">
        <v>409</v>
      </c>
      <c r="Q241" s="20">
        <f>IF(tblStudyData[[#This Row],[Attendence_Status]]="Present",100%,IF(tblStudyData[[#This Row],[Attendence_Status]]="Late",80%,IF(tblStudyData[[#This Row],[Attendence_Status]]="Absent",0%,"")))</f>
        <v>0.8</v>
      </c>
      <c r="R241" t="s">
        <v>55</v>
      </c>
      <c r="S241" t="s">
        <v>58</v>
      </c>
      <c r="T241" t="s">
        <v>63</v>
      </c>
      <c r="U241" t="s">
        <v>411</v>
      </c>
      <c r="V241">
        <f>WEEKNUM(tblStudyData[[#This Row],[Date]],2)</f>
        <v>35</v>
      </c>
    </row>
    <row r="242" spans="1:22" x14ac:dyDescent="0.3">
      <c r="A242" t="s">
        <v>342</v>
      </c>
      <c r="B242" s="5">
        <v>46238</v>
      </c>
      <c r="C242" t="s">
        <v>70</v>
      </c>
      <c r="D242" t="str">
        <f>_xlfn.XLOOKUP(tblStudyData[[#This Row],[Student_ID]],tblStudents[Student_ID],tblStudents[Student_Name],"")</f>
        <v>Neha</v>
      </c>
      <c r="E242" t="str">
        <f>_xlfn.XLOOKUP(tblStudyData[[#This Row],[Student_ID]],tblStudents[Student_ID],tblStudents[Gender],"")</f>
        <v>Female</v>
      </c>
      <c r="F242">
        <f>_xlfn.XLOOKUP(tblStudyData[[#This Row],[Student_ID]],tblStudents[Student_ID],tblStudents[Grade],"")</f>
        <v>11</v>
      </c>
      <c r="G242" t="str">
        <f>_xlfn.XLOOKUP(tblStudyData[[#This Row],[Student_ID]],tblStudents[Student_ID],tblStudents[Class],"")</f>
        <v>B</v>
      </c>
      <c r="H242" t="s">
        <v>41</v>
      </c>
      <c r="I242" t="s">
        <v>113</v>
      </c>
      <c r="J242" t="s">
        <v>50</v>
      </c>
      <c r="K242">
        <v>2</v>
      </c>
      <c r="L242">
        <v>1.8</v>
      </c>
      <c r="M242" t="s">
        <v>52</v>
      </c>
      <c r="N242" t="s">
        <v>420</v>
      </c>
      <c r="O242">
        <v>90</v>
      </c>
      <c r="P242" t="s">
        <v>412</v>
      </c>
      <c r="Q242" s="20">
        <v>0.99</v>
      </c>
      <c r="R242" t="s">
        <v>54</v>
      </c>
      <c r="S242" t="s">
        <v>58</v>
      </c>
      <c r="T242" t="s">
        <v>93</v>
      </c>
      <c r="U242" t="s">
        <v>413</v>
      </c>
      <c r="V242">
        <f>WEEKNUM(tblStudyData[[#This Row],[Date]],2)</f>
        <v>32</v>
      </c>
    </row>
    <row r="243" spans="1:22" x14ac:dyDescent="0.3">
      <c r="A243" t="s">
        <v>343</v>
      </c>
      <c r="B243" s="5">
        <v>46249</v>
      </c>
      <c r="C243" t="s">
        <v>28</v>
      </c>
      <c r="D243" t="str">
        <f>_xlfn.XLOOKUP(tblStudyData[[#This Row],[Student_ID]],tblStudents[Student_ID],tblStudents[Student_Name],"")</f>
        <v>Arjun</v>
      </c>
      <c r="E243" t="str">
        <f>_xlfn.XLOOKUP(tblStudyData[[#This Row],[Student_ID]],tblStudents[Student_ID],tblStudents[Gender],"")</f>
        <v>Male</v>
      </c>
      <c r="F243">
        <f>_xlfn.XLOOKUP(tblStudyData[[#This Row],[Student_ID]],tblStudents[Student_ID],tblStudents[Grade],"")</f>
        <v>11</v>
      </c>
      <c r="G243" t="str">
        <f>_xlfn.XLOOKUP(tblStudyData[[#This Row],[Student_ID]],tblStudents[Student_ID],tblStudents[Class],"")</f>
        <v>B</v>
      </c>
      <c r="H243" t="s">
        <v>41</v>
      </c>
      <c r="I243" t="s">
        <v>113</v>
      </c>
      <c r="J243" t="s">
        <v>88</v>
      </c>
      <c r="K243">
        <v>4</v>
      </c>
      <c r="L243">
        <v>3.2</v>
      </c>
      <c r="M243" t="s">
        <v>52</v>
      </c>
      <c r="N243" t="s">
        <v>420</v>
      </c>
      <c r="O243">
        <v>85</v>
      </c>
      <c r="P243" t="s">
        <v>412</v>
      </c>
      <c r="Q243" s="20">
        <v>1</v>
      </c>
      <c r="R243" t="s">
        <v>55</v>
      </c>
      <c r="S243" t="s">
        <v>60</v>
      </c>
      <c r="T243" t="s">
        <v>65</v>
      </c>
      <c r="U243" t="s">
        <v>413</v>
      </c>
      <c r="V243">
        <f>WEEKNUM(tblStudyData[[#This Row],[Date]],2)</f>
        <v>33</v>
      </c>
    </row>
    <row r="244" spans="1:22" x14ac:dyDescent="0.3">
      <c r="A244" t="s">
        <v>344</v>
      </c>
      <c r="B244" s="5">
        <v>46255</v>
      </c>
      <c r="C244" t="s">
        <v>69</v>
      </c>
      <c r="D244" t="str">
        <f>_xlfn.XLOOKUP(tblStudyData[[#This Row],[Student_ID]],tblStudents[Student_ID],tblStudents[Student_Name],"")</f>
        <v>Vikaram</v>
      </c>
      <c r="E244" t="str">
        <f>_xlfn.XLOOKUP(tblStudyData[[#This Row],[Student_ID]],tblStudents[Student_ID],tblStudents[Gender],"")</f>
        <v>Male</v>
      </c>
      <c r="F244">
        <f>_xlfn.XLOOKUP(tblStudyData[[#This Row],[Student_ID]],tblStudents[Student_ID],tblStudents[Grade],"")</f>
        <v>10</v>
      </c>
      <c r="G244" t="str">
        <f>_xlfn.XLOOKUP(tblStudyData[[#This Row],[Student_ID]],tblStudents[Student_ID],tblStudents[Class],"")</f>
        <v>B</v>
      </c>
      <c r="H244" t="s">
        <v>41</v>
      </c>
      <c r="I244" t="s">
        <v>113</v>
      </c>
      <c r="J244" t="s">
        <v>50</v>
      </c>
      <c r="K244">
        <v>1</v>
      </c>
      <c r="L244">
        <v>0.8</v>
      </c>
      <c r="M244" t="s">
        <v>52</v>
      </c>
      <c r="N244" t="s">
        <v>420</v>
      </c>
      <c r="O244">
        <v>85</v>
      </c>
      <c r="P244" t="s">
        <v>412</v>
      </c>
      <c r="Q244" s="20">
        <v>0.85</v>
      </c>
      <c r="R244" t="s">
        <v>55</v>
      </c>
      <c r="S244" t="s">
        <v>60</v>
      </c>
      <c r="T244" t="s">
        <v>62</v>
      </c>
      <c r="U244" t="s">
        <v>413</v>
      </c>
      <c r="V244">
        <f>WEEKNUM(tblStudyData[[#This Row],[Date]],2)</f>
        <v>34</v>
      </c>
    </row>
    <row r="245" spans="1:22" x14ac:dyDescent="0.3">
      <c r="A245" t="s">
        <v>345</v>
      </c>
      <c r="B245" s="5">
        <v>46244</v>
      </c>
      <c r="C245" t="s">
        <v>67</v>
      </c>
      <c r="D245" t="str">
        <f>_xlfn.XLOOKUP(tblStudyData[[#This Row],[Student_ID]],tblStudents[Student_ID],tblStudents[Student_Name],"")</f>
        <v>Rohit</v>
      </c>
      <c r="E245" t="str">
        <f>_xlfn.XLOOKUP(tblStudyData[[#This Row],[Student_ID]],tblStudents[Student_ID],tblStudents[Gender],"")</f>
        <v>Male</v>
      </c>
      <c r="F245">
        <f>_xlfn.XLOOKUP(tblStudyData[[#This Row],[Student_ID]],tblStudents[Student_ID],tblStudents[Grade],"")</f>
        <v>9</v>
      </c>
      <c r="G245" t="str">
        <f>_xlfn.XLOOKUP(tblStudyData[[#This Row],[Student_ID]],tblStudents[Student_ID],tblStudents[Class],"")</f>
        <v>A</v>
      </c>
      <c r="H245" t="s">
        <v>41</v>
      </c>
      <c r="I245" t="s">
        <v>113</v>
      </c>
      <c r="J245" t="s">
        <v>51</v>
      </c>
      <c r="K245">
        <v>4</v>
      </c>
      <c r="L245">
        <v>3.4</v>
      </c>
      <c r="M245" t="s">
        <v>52</v>
      </c>
      <c r="N245" t="s">
        <v>420</v>
      </c>
      <c r="O245">
        <v>95</v>
      </c>
      <c r="P245" t="s">
        <v>409</v>
      </c>
      <c r="Q245" s="20">
        <f>IF(tblStudyData[[#This Row],[Attendence_Status]]="Present",100%,IF(tblStudyData[[#This Row],[Attendence_Status]]="Late",80%,IF(tblStudyData[[#This Row],[Attendence_Status]]="Absent",0%,"")))</f>
        <v>0.8</v>
      </c>
      <c r="R245" t="s">
        <v>55</v>
      </c>
      <c r="S245" t="s">
        <v>59</v>
      </c>
      <c r="T245" t="s">
        <v>64</v>
      </c>
      <c r="U245" t="s">
        <v>411</v>
      </c>
      <c r="V245">
        <f>WEEKNUM(tblStudyData[[#This Row],[Date]],2)</f>
        <v>33</v>
      </c>
    </row>
    <row r="246" spans="1:22" x14ac:dyDescent="0.3">
      <c r="A246" t="s">
        <v>346</v>
      </c>
      <c r="B246" s="5">
        <v>46264</v>
      </c>
      <c r="C246" t="s">
        <v>73</v>
      </c>
      <c r="D246" t="str">
        <f>_xlfn.XLOOKUP(tblStudyData[[#This Row],[Student_ID]],tblStudents[Student_ID],tblStudents[Student_Name],"")</f>
        <v>Naveen</v>
      </c>
      <c r="E246" t="str">
        <f>_xlfn.XLOOKUP(tblStudyData[[#This Row],[Student_ID]],tblStudents[Student_ID],tblStudents[Gender],"")</f>
        <v>Male</v>
      </c>
      <c r="F246">
        <f>_xlfn.XLOOKUP(tblStudyData[[#This Row],[Student_ID]],tblStudents[Student_ID],tblStudents[Grade],"")</f>
        <v>10</v>
      </c>
      <c r="G246" t="str">
        <f>_xlfn.XLOOKUP(tblStudyData[[#This Row],[Student_ID]],tblStudents[Student_ID],tblStudents[Class],"")</f>
        <v>A</v>
      </c>
      <c r="H246" t="s">
        <v>40</v>
      </c>
      <c r="I246" t="s">
        <v>113</v>
      </c>
      <c r="J246" t="s">
        <v>88</v>
      </c>
      <c r="K246">
        <v>4</v>
      </c>
      <c r="L246">
        <v>2.6</v>
      </c>
      <c r="M246" t="s">
        <v>52</v>
      </c>
      <c r="N246" t="s">
        <v>420</v>
      </c>
      <c r="O246">
        <v>89</v>
      </c>
      <c r="P246" t="s">
        <v>409</v>
      </c>
      <c r="Q246" s="20">
        <f>IF(tblStudyData[[#This Row],[Attendence_Status]]="Present",100%,IF(tblStudyData[[#This Row],[Attendence_Status]]="Late",80%,IF(tblStudyData[[#This Row],[Attendence_Status]]="Absent",0%,"")))</f>
        <v>0.8</v>
      </c>
      <c r="R246" t="s">
        <v>56</v>
      </c>
      <c r="S246" t="s">
        <v>58</v>
      </c>
      <c r="T246" t="s">
        <v>63</v>
      </c>
      <c r="U246" t="s">
        <v>410</v>
      </c>
      <c r="V246">
        <f>WEEKNUM(tblStudyData[[#This Row],[Date]],2)</f>
        <v>35</v>
      </c>
    </row>
    <row r="247" spans="1:22" x14ac:dyDescent="0.3">
      <c r="A247" t="s">
        <v>347</v>
      </c>
      <c r="B247" s="5">
        <v>46253</v>
      </c>
      <c r="C247" t="s">
        <v>73</v>
      </c>
      <c r="D247" t="str">
        <f>_xlfn.XLOOKUP(tblStudyData[[#This Row],[Student_ID]],tblStudents[Student_ID],tblStudents[Student_Name],"")</f>
        <v>Naveen</v>
      </c>
      <c r="E247" t="str">
        <f>_xlfn.XLOOKUP(tblStudyData[[#This Row],[Student_ID]],tblStudents[Student_ID],tblStudents[Gender],"")</f>
        <v>Male</v>
      </c>
      <c r="F247">
        <f>_xlfn.XLOOKUP(tblStudyData[[#This Row],[Student_ID]],tblStudents[Student_ID],tblStudents[Grade],"")</f>
        <v>10</v>
      </c>
      <c r="G247" t="str">
        <f>_xlfn.XLOOKUP(tblStudyData[[#This Row],[Student_ID]],tblStudents[Student_ID],tblStudents[Class],"")</f>
        <v>A</v>
      </c>
      <c r="H247" t="s">
        <v>40</v>
      </c>
      <c r="I247" t="s">
        <v>113</v>
      </c>
      <c r="J247" t="s">
        <v>49</v>
      </c>
      <c r="K247">
        <v>1</v>
      </c>
      <c r="L247">
        <v>1</v>
      </c>
      <c r="M247" t="s">
        <v>52</v>
      </c>
      <c r="N247" t="s">
        <v>420</v>
      </c>
      <c r="O247">
        <v>89</v>
      </c>
      <c r="P247" t="s">
        <v>412</v>
      </c>
      <c r="Q247" s="20">
        <v>0.85</v>
      </c>
      <c r="R247" t="s">
        <v>55</v>
      </c>
      <c r="S247" t="s">
        <v>91</v>
      </c>
      <c r="T247" t="s">
        <v>62</v>
      </c>
      <c r="U247" t="s">
        <v>413</v>
      </c>
      <c r="V247">
        <f>WEEKNUM(tblStudyData[[#This Row],[Date]],2)</f>
        <v>34</v>
      </c>
    </row>
    <row r="248" spans="1:22" x14ac:dyDescent="0.3">
      <c r="A248" t="s">
        <v>348</v>
      </c>
      <c r="B248" s="5">
        <v>46245</v>
      </c>
      <c r="C248" t="s">
        <v>71</v>
      </c>
      <c r="D248" t="str">
        <f>_xlfn.XLOOKUP(tblStudyData[[#This Row],[Student_ID]],tblStudents[Student_ID],tblStudents[Student_Name],"")</f>
        <v>Sai</v>
      </c>
      <c r="E248" t="str">
        <f>_xlfn.XLOOKUP(tblStudyData[[#This Row],[Student_ID]],tblStudents[Student_ID],tblStudents[Gender],"")</f>
        <v>Male</v>
      </c>
      <c r="F248">
        <f>_xlfn.XLOOKUP(tblStudyData[[#This Row],[Student_ID]],tblStudents[Student_ID],tblStudents[Grade],"")</f>
        <v>9</v>
      </c>
      <c r="G248" t="str">
        <f>_xlfn.XLOOKUP(tblStudyData[[#This Row],[Student_ID]],tblStudents[Student_ID],tblStudents[Class],"")</f>
        <v>B</v>
      </c>
      <c r="H248" t="s">
        <v>40</v>
      </c>
      <c r="I248" t="s">
        <v>113</v>
      </c>
      <c r="J248" t="s">
        <v>49</v>
      </c>
      <c r="K248">
        <v>3</v>
      </c>
      <c r="L248">
        <v>2.4</v>
      </c>
      <c r="M248" t="s">
        <v>52</v>
      </c>
      <c r="N248" t="s">
        <v>420</v>
      </c>
      <c r="O248">
        <v>72</v>
      </c>
      <c r="P248" t="s">
        <v>409</v>
      </c>
      <c r="Q248" s="20">
        <v>0.78</v>
      </c>
      <c r="R248" t="s">
        <v>56</v>
      </c>
      <c r="S248" t="s">
        <v>91</v>
      </c>
      <c r="T248" t="s">
        <v>64</v>
      </c>
      <c r="U248" t="s">
        <v>411</v>
      </c>
      <c r="V248">
        <f>WEEKNUM(tblStudyData[[#This Row],[Date]],2)</f>
        <v>33</v>
      </c>
    </row>
    <row r="249" spans="1:22" x14ac:dyDescent="0.3">
      <c r="A249" t="s">
        <v>349</v>
      </c>
      <c r="B249" s="5">
        <v>46260</v>
      </c>
      <c r="C249" t="s">
        <v>72</v>
      </c>
      <c r="D249" t="str">
        <f>_xlfn.XLOOKUP(tblStudyData[[#This Row],[Student_ID]],tblStudents[Student_ID],tblStudents[Student_Name],"")</f>
        <v>Pooja</v>
      </c>
      <c r="E249" t="str">
        <f>_xlfn.XLOOKUP(tblStudyData[[#This Row],[Student_ID]],tblStudents[Student_ID],tblStudents[Gender],"")</f>
        <v>Female</v>
      </c>
      <c r="F249">
        <f>_xlfn.XLOOKUP(tblStudyData[[#This Row],[Student_ID]],tblStudents[Student_ID],tblStudents[Grade],"")</f>
        <v>12</v>
      </c>
      <c r="G249" t="str">
        <f>_xlfn.XLOOKUP(tblStudyData[[#This Row],[Student_ID]],tblStudents[Student_ID],tblStudents[Class],"")</f>
        <v>A</v>
      </c>
      <c r="H249" t="s">
        <v>40</v>
      </c>
      <c r="I249" t="s">
        <v>113</v>
      </c>
      <c r="J249" t="s">
        <v>51</v>
      </c>
      <c r="K249">
        <v>4</v>
      </c>
      <c r="L249">
        <v>2.6</v>
      </c>
      <c r="M249" t="s">
        <v>52</v>
      </c>
      <c r="N249" t="s">
        <v>420</v>
      </c>
      <c r="O249">
        <v>61</v>
      </c>
      <c r="P249" t="s">
        <v>412</v>
      </c>
      <c r="Q249" s="20">
        <v>0.75</v>
      </c>
      <c r="R249" t="s">
        <v>55</v>
      </c>
      <c r="S249" t="s">
        <v>60</v>
      </c>
      <c r="T249" t="s">
        <v>64</v>
      </c>
      <c r="U249" t="s">
        <v>413</v>
      </c>
      <c r="V249">
        <f>WEEKNUM(tblStudyData[[#This Row],[Date]],2)</f>
        <v>35</v>
      </c>
    </row>
    <row r="250" spans="1:22" x14ac:dyDescent="0.3">
      <c r="A250" t="s">
        <v>350</v>
      </c>
      <c r="B250" s="5">
        <v>46238</v>
      </c>
      <c r="C250" t="s">
        <v>75</v>
      </c>
      <c r="D250" t="str">
        <f>_xlfn.XLOOKUP(tblStudyData[[#This Row],[Student_ID]],tblStudents[Student_ID],tblStudents[Student_Name],"")</f>
        <v>Akhil</v>
      </c>
      <c r="E250" t="str">
        <f>_xlfn.XLOOKUP(tblStudyData[[#This Row],[Student_ID]],tblStudents[Student_ID],tblStudents[Gender],"")</f>
        <v>Male</v>
      </c>
      <c r="F250">
        <f>_xlfn.XLOOKUP(tblStudyData[[#This Row],[Student_ID]],tblStudents[Student_ID],tblStudents[Grade],"")</f>
        <v>9</v>
      </c>
      <c r="G250" t="str">
        <f>_xlfn.XLOOKUP(tblStudyData[[#This Row],[Student_ID]],tblStudents[Student_ID],tblStudents[Class],"")</f>
        <v>A</v>
      </c>
      <c r="H250" t="s">
        <v>40</v>
      </c>
      <c r="I250" t="s">
        <v>113</v>
      </c>
      <c r="J250" t="s">
        <v>88</v>
      </c>
      <c r="K250">
        <v>2</v>
      </c>
      <c r="L250">
        <v>1.7</v>
      </c>
      <c r="M250" t="s">
        <v>52</v>
      </c>
      <c r="N250" t="s">
        <v>420</v>
      </c>
      <c r="O250">
        <v>86</v>
      </c>
      <c r="P250" t="s">
        <v>53</v>
      </c>
      <c r="Q250" s="20">
        <f>IF(tblStudyData[[#This Row],[Attendence_Status]]="Present",100%,IF(tblStudyData[[#This Row],[Attendence_Status]]="Late",80%,IF(tblStudyData[[#This Row],[Attendence_Status]]="Absent",0%,"")))</f>
        <v>1</v>
      </c>
      <c r="R250" t="s">
        <v>56</v>
      </c>
      <c r="S250" t="s">
        <v>91</v>
      </c>
      <c r="T250" t="s">
        <v>65</v>
      </c>
      <c r="U250" t="s">
        <v>410</v>
      </c>
      <c r="V250">
        <f>WEEKNUM(tblStudyData[[#This Row],[Date]],2)</f>
        <v>32</v>
      </c>
    </row>
    <row r="251" spans="1:22" x14ac:dyDescent="0.3">
      <c r="A251" t="s">
        <v>351</v>
      </c>
      <c r="B251" s="5">
        <v>46253</v>
      </c>
      <c r="C251" t="s">
        <v>30</v>
      </c>
      <c r="D251" t="str">
        <f>_xlfn.XLOOKUP(tblStudyData[[#This Row],[Student_ID]],tblStudents[Student_ID],tblStudents[Student_Name],"")</f>
        <v>Kiran</v>
      </c>
      <c r="E251" t="str">
        <f>_xlfn.XLOOKUP(tblStudyData[[#This Row],[Student_ID]],tblStudents[Student_ID],tblStudents[Gender],"")</f>
        <v>Male</v>
      </c>
      <c r="F251">
        <f>_xlfn.XLOOKUP(tblStudyData[[#This Row],[Student_ID]],tblStudents[Student_ID],tblStudents[Grade],"")</f>
        <v>12</v>
      </c>
      <c r="G251" t="str">
        <f>_xlfn.XLOOKUP(tblStudyData[[#This Row],[Student_ID]],tblStudents[Student_ID],tblStudents[Class],"")</f>
        <v>A</v>
      </c>
      <c r="H251" t="s">
        <v>41</v>
      </c>
      <c r="I251" t="s">
        <v>113</v>
      </c>
      <c r="J251" t="s">
        <v>88</v>
      </c>
      <c r="K251">
        <v>1</v>
      </c>
      <c r="L251">
        <v>0.6</v>
      </c>
      <c r="M251" t="s">
        <v>52</v>
      </c>
      <c r="N251" t="s">
        <v>420</v>
      </c>
      <c r="O251">
        <v>88</v>
      </c>
      <c r="P251" t="s">
        <v>412</v>
      </c>
      <c r="Q251" s="20">
        <v>0.88</v>
      </c>
      <c r="R251" t="s">
        <v>54</v>
      </c>
      <c r="S251" t="s">
        <v>58</v>
      </c>
      <c r="T251" t="s">
        <v>61</v>
      </c>
      <c r="U251" t="s">
        <v>413</v>
      </c>
      <c r="V251">
        <f>WEEKNUM(tblStudyData[[#This Row],[Date]],2)</f>
        <v>34</v>
      </c>
    </row>
    <row r="252" spans="1:22" x14ac:dyDescent="0.3">
      <c r="A252" t="s">
        <v>352</v>
      </c>
      <c r="B252" s="5">
        <v>46259</v>
      </c>
      <c r="C252" t="s">
        <v>69</v>
      </c>
      <c r="D252" t="str">
        <f>_xlfn.XLOOKUP(tblStudyData[[#This Row],[Student_ID]],tblStudents[Student_ID],tblStudents[Student_Name],"")</f>
        <v>Vikaram</v>
      </c>
      <c r="E252" t="str">
        <f>_xlfn.XLOOKUP(tblStudyData[[#This Row],[Student_ID]],tblStudents[Student_ID],tblStudents[Gender],"")</f>
        <v>Male</v>
      </c>
      <c r="F252">
        <f>_xlfn.XLOOKUP(tblStudyData[[#This Row],[Student_ID]],tblStudents[Student_ID],tblStudents[Grade],"")</f>
        <v>10</v>
      </c>
      <c r="G252" t="str">
        <f>_xlfn.XLOOKUP(tblStudyData[[#This Row],[Student_ID]],tblStudents[Student_ID],tblStudents[Class],"")</f>
        <v>B</v>
      </c>
      <c r="H252" t="s">
        <v>41</v>
      </c>
      <c r="I252" t="s">
        <v>113</v>
      </c>
      <c r="J252" t="s">
        <v>49</v>
      </c>
      <c r="K252">
        <v>4</v>
      </c>
      <c r="L252">
        <v>3.7</v>
      </c>
      <c r="M252" t="s">
        <v>52</v>
      </c>
      <c r="N252" t="s">
        <v>420</v>
      </c>
      <c r="O252">
        <v>89</v>
      </c>
      <c r="P252" t="s">
        <v>409</v>
      </c>
      <c r="Q252" s="20">
        <f>IF(tblStudyData[[#This Row],[Attendence_Status]]="Present",100%,IF(tblStudyData[[#This Row],[Attendence_Status]]="Late",80%,IF(tblStudyData[[#This Row],[Attendence_Status]]="Absent",0%,"")))</f>
        <v>0.8</v>
      </c>
      <c r="R252" t="s">
        <v>56</v>
      </c>
      <c r="S252" t="s">
        <v>59</v>
      </c>
      <c r="T252" t="s">
        <v>64</v>
      </c>
      <c r="U252" t="s">
        <v>411</v>
      </c>
      <c r="V252">
        <f>WEEKNUM(tblStudyData[[#This Row],[Date]],2)</f>
        <v>35</v>
      </c>
    </row>
    <row r="253" spans="1:22" x14ac:dyDescent="0.3">
      <c r="A253" t="s">
        <v>353</v>
      </c>
      <c r="B253" s="5">
        <v>46249</v>
      </c>
      <c r="C253" t="s">
        <v>70</v>
      </c>
      <c r="D253" t="str">
        <f>_xlfn.XLOOKUP(tblStudyData[[#This Row],[Student_ID]],tblStudents[Student_ID],tblStudents[Student_Name],"")</f>
        <v>Neha</v>
      </c>
      <c r="E253" t="str">
        <f>_xlfn.XLOOKUP(tblStudyData[[#This Row],[Student_ID]],tblStudents[Student_ID],tblStudents[Gender],"")</f>
        <v>Female</v>
      </c>
      <c r="F253">
        <f>_xlfn.XLOOKUP(tblStudyData[[#This Row],[Student_ID]],tblStudents[Student_ID],tblStudents[Grade],"")</f>
        <v>11</v>
      </c>
      <c r="G253" t="str">
        <f>_xlfn.XLOOKUP(tblStudyData[[#This Row],[Student_ID]],tblStudents[Student_ID],tblStudents[Class],"")</f>
        <v>B</v>
      </c>
      <c r="H253" t="s">
        <v>41</v>
      </c>
      <c r="I253" t="s">
        <v>113</v>
      </c>
      <c r="J253" t="s">
        <v>88</v>
      </c>
      <c r="K253">
        <v>2</v>
      </c>
      <c r="L253">
        <v>1.9</v>
      </c>
      <c r="M253" t="s">
        <v>52</v>
      </c>
      <c r="N253" t="s">
        <v>420</v>
      </c>
      <c r="O253">
        <v>86</v>
      </c>
      <c r="P253" t="s">
        <v>412</v>
      </c>
      <c r="Q253" s="20">
        <v>1</v>
      </c>
      <c r="R253" t="s">
        <v>54</v>
      </c>
      <c r="S253" t="s">
        <v>91</v>
      </c>
      <c r="T253" t="s">
        <v>61</v>
      </c>
      <c r="U253" t="s">
        <v>413</v>
      </c>
      <c r="V253">
        <f>WEEKNUM(tblStudyData[[#This Row],[Date]],2)</f>
        <v>33</v>
      </c>
    </row>
    <row r="254" spans="1:22" x14ac:dyDescent="0.3">
      <c r="A254" t="s">
        <v>354</v>
      </c>
      <c r="B254" s="5">
        <v>46244</v>
      </c>
      <c r="C254" t="s">
        <v>68</v>
      </c>
      <c r="D254" t="str">
        <f>_xlfn.XLOOKUP(tblStudyData[[#This Row],[Student_ID]],tblStudents[Student_ID],tblStudents[Student_Name],"")</f>
        <v>Divya</v>
      </c>
      <c r="E254" t="str">
        <f>_xlfn.XLOOKUP(tblStudyData[[#This Row],[Student_ID]],tblStudents[Student_ID],tblStudents[Gender],"")</f>
        <v>Female</v>
      </c>
      <c r="F254">
        <f>_xlfn.XLOOKUP(tblStudyData[[#This Row],[Student_ID]],tblStudents[Student_ID],tblStudents[Grade],"")</f>
        <v>12</v>
      </c>
      <c r="G254" t="str">
        <f>_xlfn.XLOOKUP(tblStudyData[[#This Row],[Student_ID]],tblStudents[Student_ID],tblStudents[Class],"")</f>
        <v>B</v>
      </c>
      <c r="H254" t="s">
        <v>41</v>
      </c>
      <c r="I254" t="s">
        <v>113</v>
      </c>
      <c r="J254" t="s">
        <v>51</v>
      </c>
      <c r="K254">
        <v>1</v>
      </c>
      <c r="L254">
        <v>0.7</v>
      </c>
      <c r="M254" t="s">
        <v>52</v>
      </c>
      <c r="N254" t="s">
        <v>420</v>
      </c>
      <c r="O254">
        <v>76</v>
      </c>
      <c r="P254" t="s">
        <v>412</v>
      </c>
      <c r="Q254" s="20">
        <v>0.88</v>
      </c>
      <c r="R254" t="s">
        <v>54</v>
      </c>
      <c r="S254" t="s">
        <v>59</v>
      </c>
      <c r="T254" t="s">
        <v>61</v>
      </c>
      <c r="U254" t="s">
        <v>413</v>
      </c>
      <c r="V254">
        <f>WEEKNUM(tblStudyData[[#This Row],[Date]],2)</f>
        <v>33</v>
      </c>
    </row>
    <row r="255" spans="1:22" x14ac:dyDescent="0.3">
      <c r="A255" t="s">
        <v>355</v>
      </c>
      <c r="B255" s="5">
        <v>46246</v>
      </c>
      <c r="C255" t="s">
        <v>72</v>
      </c>
      <c r="D255" t="str">
        <f>_xlfn.XLOOKUP(tblStudyData[[#This Row],[Student_ID]],tblStudents[Student_ID],tblStudents[Student_Name],"")</f>
        <v>Pooja</v>
      </c>
      <c r="E255" t="str">
        <f>_xlfn.XLOOKUP(tblStudyData[[#This Row],[Student_ID]],tblStudents[Student_ID],tblStudents[Gender],"")</f>
        <v>Female</v>
      </c>
      <c r="F255">
        <f>_xlfn.XLOOKUP(tblStudyData[[#This Row],[Student_ID]],tblStudents[Student_ID],tblStudents[Grade],"")</f>
        <v>12</v>
      </c>
      <c r="G255" t="str">
        <f>_xlfn.XLOOKUP(tblStudyData[[#This Row],[Student_ID]],tblStudents[Student_ID],tblStudents[Class],"")</f>
        <v>A</v>
      </c>
      <c r="H255" t="s">
        <v>41</v>
      </c>
      <c r="I255" t="s">
        <v>113</v>
      </c>
      <c r="J255" t="s">
        <v>88</v>
      </c>
      <c r="K255">
        <v>1</v>
      </c>
      <c r="L255">
        <v>0.8</v>
      </c>
      <c r="M255" t="s">
        <v>52</v>
      </c>
      <c r="N255" t="s">
        <v>420</v>
      </c>
      <c r="O255">
        <v>89</v>
      </c>
      <c r="P255" t="s">
        <v>409</v>
      </c>
      <c r="Q255" s="20">
        <f>IF(tblStudyData[[#This Row],[Attendence_Status]]="Present",100%,IF(tblStudyData[[#This Row],[Attendence_Status]]="Late",80%,IF(tblStudyData[[#This Row],[Attendence_Status]]="Absent",0%,"")))</f>
        <v>0.8</v>
      </c>
      <c r="R255" t="s">
        <v>56</v>
      </c>
      <c r="S255" t="s">
        <v>58</v>
      </c>
      <c r="T255" t="s">
        <v>65</v>
      </c>
      <c r="U255" t="s">
        <v>410</v>
      </c>
      <c r="V255">
        <f>WEEKNUM(tblStudyData[[#This Row],[Date]],2)</f>
        <v>33</v>
      </c>
    </row>
    <row r="256" spans="1:22" x14ac:dyDescent="0.3">
      <c r="A256" t="s">
        <v>356</v>
      </c>
      <c r="B256" s="5">
        <v>46259</v>
      </c>
      <c r="C256" t="s">
        <v>30</v>
      </c>
      <c r="D256" t="str">
        <f>_xlfn.XLOOKUP(tblStudyData[[#This Row],[Student_ID]],tblStudents[Student_ID],tblStudents[Student_Name],"")</f>
        <v>Kiran</v>
      </c>
      <c r="E256" t="str">
        <f>_xlfn.XLOOKUP(tblStudyData[[#This Row],[Student_ID]],tblStudents[Student_ID],tblStudents[Gender],"")</f>
        <v>Male</v>
      </c>
      <c r="F256">
        <f>_xlfn.XLOOKUP(tblStudyData[[#This Row],[Student_ID]],tblStudents[Student_ID],tblStudents[Grade],"")</f>
        <v>12</v>
      </c>
      <c r="G256" t="str">
        <f>_xlfn.XLOOKUP(tblStudyData[[#This Row],[Student_ID]],tblStudents[Student_ID],tblStudents[Class],"")</f>
        <v>A</v>
      </c>
      <c r="H256" t="s">
        <v>41</v>
      </c>
      <c r="I256" t="s">
        <v>113</v>
      </c>
      <c r="J256" t="s">
        <v>51</v>
      </c>
      <c r="K256">
        <v>2</v>
      </c>
      <c r="L256">
        <v>1.2</v>
      </c>
      <c r="M256" t="s">
        <v>52</v>
      </c>
      <c r="N256" t="s">
        <v>420</v>
      </c>
      <c r="O256">
        <v>80</v>
      </c>
      <c r="P256" t="s">
        <v>53</v>
      </c>
      <c r="Q256" s="20">
        <f>IF(tblStudyData[[#This Row],[Attendence_Status]]="Present",100%,IF(tblStudyData[[#This Row],[Attendence_Status]]="Late",80%,IF(tblStudyData[[#This Row],[Attendence_Status]]="Absent",0%,"")))</f>
        <v>1</v>
      </c>
      <c r="R256" t="s">
        <v>55</v>
      </c>
      <c r="S256" t="s">
        <v>60</v>
      </c>
      <c r="T256" t="s">
        <v>64</v>
      </c>
      <c r="U256" t="s">
        <v>410</v>
      </c>
      <c r="V256">
        <f>WEEKNUM(tblStudyData[[#This Row],[Date]],2)</f>
        <v>35</v>
      </c>
    </row>
    <row r="257" spans="1:22" x14ac:dyDescent="0.3">
      <c r="A257" t="s">
        <v>357</v>
      </c>
      <c r="B257" s="5">
        <v>46260</v>
      </c>
      <c r="C257" t="s">
        <v>74</v>
      </c>
      <c r="D257" t="str">
        <f>_xlfn.XLOOKUP(tblStudyData[[#This Row],[Student_ID]],tblStudents[Student_ID],tblStudents[Student_Name],"")</f>
        <v>Kavya</v>
      </c>
      <c r="E257" t="str">
        <f>_xlfn.XLOOKUP(tblStudyData[[#This Row],[Student_ID]],tblStudents[Student_ID],tblStudents[Gender],"")</f>
        <v>Female</v>
      </c>
      <c r="F257">
        <f>_xlfn.XLOOKUP(tblStudyData[[#This Row],[Student_ID]],tblStudents[Student_ID],tblStudents[Grade],"")</f>
        <v>11</v>
      </c>
      <c r="G257" t="str">
        <f>_xlfn.XLOOKUP(tblStudyData[[#This Row],[Student_ID]],tblStudents[Student_ID],tblStudents[Class],"")</f>
        <v>A</v>
      </c>
      <c r="H257" t="s">
        <v>41</v>
      </c>
      <c r="I257" t="s">
        <v>113</v>
      </c>
      <c r="J257" t="s">
        <v>50</v>
      </c>
      <c r="K257">
        <v>1</v>
      </c>
      <c r="L257">
        <v>0.9</v>
      </c>
      <c r="M257" t="s">
        <v>52</v>
      </c>
      <c r="N257" t="s">
        <v>420</v>
      </c>
      <c r="O257">
        <v>75</v>
      </c>
      <c r="P257" t="s">
        <v>409</v>
      </c>
      <c r="Q257" s="20">
        <f>IF(tblStudyData[[#This Row],[Attendence_Status]]="Present",100%,IF(tblStudyData[[#This Row],[Attendence_Status]]="Late",80%,IF(tblStudyData[[#This Row],[Attendence_Status]]="Absent",0%,"")))</f>
        <v>0.8</v>
      </c>
      <c r="R257" t="s">
        <v>55</v>
      </c>
      <c r="S257" t="s">
        <v>58</v>
      </c>
      <c r="T257" t="s">
        <v>64</v>
      </c>
      <c r="U257" t="s">
        <v>411</v>
      </c>
      <c r="V257">
        <f>WEEKNUM(tblStudyData[[#This Row],[Date]],2)</f>
        <v>35</v>
      </c>
    </row>
    <row r="258" spans="1:22" x14ac:dyDescent="0.3">
      <c r="A258" t="s">
        <v>358</v>
      </c>
      <c r="B258" s="5">
        <v>46257</v>
      </c>
      <c r="C258" t="s">
        <v>28</v>
      </c>
      <c r="D258" t="str">
        <f>_xlfn.XLOOKUP(tblStudyData[[#This Row],[Student_ID]],tblStudents[Student_ID],tblStudents[Student_Name],"")</f>
        <v>Arjun</v>
      </c>
      <c r="E258" t="str">
        <f>_xlfn.XLOOKUP(tblStudyData[[#This Row],[Student_ID]],tblStudents[Student_ID],tblStudents[Gender],"")</f>
        <v>Male</v>
      </c>
      <c r="F258">
        <f>_xlfn.XLOOKUP(tblStudyData[[#This Row],[Student_ID]],tblStudents[Student_ID],tblStudents[Grade],"")</f>
        <v>11</v>
      </c>
      <c r="G258" t="str">
        <f>_xlfn.XLOOKUP(tblStudyData[[#This Row],[Student_ID]],tblStudents[Student_ID],tblStudents[Class],"")</f>
        <v>B</v>
      </c>
      <c r="H258" t="s">
        <v>40</v>
      </c>
      <c r="I258" t="s">
        <v>113</v>
      </c>
      <c r="J258" t="s">
        <v>49</v>
      </c>
      <c r="K258">
        <v>2</v>
      </c>
      <c r="L258">
        <v>1.2</v>
      </c>
      <c r="M258" t="s">
        <v>52</v>
      </c>
      <c r="N258" t="s">
        <v>420</v>
      </c>
      <c r="O258">
        <v>83</v>
      </c>
      <c r="P258" t="s">
        <v>412</v>
      </c>
      <c r="Q258" s="20">
        <v>0.95</v>
      </c>
      <c r="R258" t="s">
        <v>55</v>
      </c>
      <c r="S258" t="s">
        <v>91</v>
      </c>
      <c r="T258" t="s">
        <v>61</v>
      </c>
      <c r="U258" t="s">
        <v>413</v>
      </c>
      <c r="V258">
        <f>WEEKNUM(tblStudyData[[#This Row],[Date]],2)</f>
        <v>34</v>
      </c>
    </row>
    <row r="259" spans="1:22" x14ac:dyDescent="0.3">
      <c r="A259" t="s">
        <v>359</v>
      </c>
      <c r="B259" s="5">
        <v>46242</v>
      </c>
      <c r="C259" t="s">
        <v>69</v>
      </c>
      <c r="D259" t="str">
        <f>_xlfn.XLOOKUP(tblStudyData[[#This Row],[Student_ID]],tblStudents[Student_ID],tblStudents[Student_Name],"")</f>
        <v>Vikaram</v>
      </c>
      <c r="E259" t="str">
        <f>_xlfn.XLOOKUP(tblStudyData[[#This Row],[Student_ID]],tblStudents[Student_ID],tblStudents[Gender],"")</f>
        <v>Male</v>
      </c>
      <c r="F259">
        <f>_xlfn.XLOOKUP(tblStudyData[[#This Row],[Student_ID]],tblStudents[Student_ID],tblStudents[Grade],"")</f>
        <v>10</v>
      </c>
      <c r="G259" t="str">
        <f>_xlfn.XLOOKUP(tblStudyData[[#This Row],[Student_ID]],tblStudents[Student_ID],tblStudents[Class],"")</f>
        <v>B</v>
      </c>
      <c r="H259" t="s">
        <v>40</v>
      </c>
      <c r="I259" t="s">
        <v>113</v>
      </c>
      <c r="J259" t="s">
        <v>51</v>
      </c>
      <c r="K259">
        <v>2</v>
      </c>
      <c r="L259">
        <v>1.3</v>
      </c>
      <c r="M259" t="s">
        <v>52</v>
      </c>
      <c r="N259" t="s">
        <v>420</v>
      </c>
      <c r="O259">
        <v>90</v>
      </c>
      <c r="P259" t="s">
        <v>53</v>
      </c>
      <c r="Q259" s="20">
        <f>IF(tblStudyData[[#This Row],[Attendence_Status]]="Present",100%,IF(tblStudyData[[#This Row],[Attendence_Status]]="Late",80%,IF(tblStudyData[[#This Row],[Attendence_Status]]="Absent",0%,"")))</f>
        <v>1</v>
      </c>
      <c r="R259" t="s">
        <v>56</v>
      </c>
      <c r="S259" t="s">
        <v>90</v>
      </c>
      <c r="T259" t="s">
        <v>62</v>
      </c>
      <c r="U259" t="s">
        <v>414</v>
      </c>
      <c r="V259">
        <f>WEEKNUM(tblStudyData[[#This Row],[Date]],2)</f>
        <v>32</v>
      </c>
    </row>
    <row r="260" spans="1:22" x14ac:dyDescent="0.3">
      <c r="A260" t="s">
        <v>360</v>
      </c>
      <c r="B260" s="5">
        <v>46251</v>
      </c>
      <c r="C260" t="s">
        <v>69</v>
      </c>
      <c r="D260" t="str">
        <f>_xlfn.XLOOKUP(tblStudyData[[#This Row],[Student_ID]],tblStudents[Student_ID],tblStudents[Student_Name],"")</f>
        <v>Vikaram</v>
      </c>
      <c r="E260" t="str">
        <f>_xlfn.XLOOKUP(tblStudyData[[#This Row],[Student_ID]],tblStudents[Student_ID],tblStudents[Gender],"")</f>
        <v>Male</v>
      </c>
      <c r="F260">
        <f>_xlfn.XLOOKUP(tblStudyData[[#This Row],[Student_ID]],tblStudents[Student_ID],tblStudents[Grade],"")</f>
        <v>10</v>
      </c>
      <c r="G260" t="str">
        <f>_xlfn.XLOOKUP(tblStudyData[[#This Row],[Student_ID]],tblStudents[Student_ID],tblStudents[Class],"")</f>
        <v>B</v>
      </c>
      <c r="H260" t="s">
        <v>40</v>
      </c>
      <c r="I260" t="s">
        <v>113</v>
      </c>
      <c r="J260" t="s">
        <v>50</v>
      </c>
      <c r="K260">
        <v>3</v>
      </c>
      <c r="L260">
        <v>2.6</v>
      </c>
      <c r="M260" t="s">
        <v>52</v>
      </c>
      <c r="N260" t="s">
        <v>420</v>
      </c>
      <c r="O260">
        <v>85</v>
      </c>
      <c r="P260" t="s">
        <v>53</v>
      </c>
      <c r="Q260" s="20">
        <f>IF(tblStudyData[[#This Row],[Attendence_Status]]="Present",100%,IF(tblStudyData[[#This Row],[Attendence_Status]]="Late",80%,IF(tblStudyData[[#This Row],[Attendence_Status]]="Absent",0%,"")))</f>
        <v>1</v>
      </c>
      <c r="R260" t="s">
        <v>55</v>
      </c>
      <c r="S260" t="s">
        <v>58</v>
      </c>
      <c r="T260" t="s">
        <v>93</v>
      </c>
      <c r="U260" t="s">
        <v>410</v>
      </c>
      <c r="V260">
        <f>WEEKNUM(tblStudyData[[#This Row],[Date]],2)</f>
        <v>34</v>
      </c>
    </row>
    <row r="261" spans="1:22" x14ac:dyDescent="0.3">
      <c r="A261" t="s">
        <v>361</v>
      </c>
      <c r="B261" s="5">
        <v>46256</v>
      </c>
      <c r="C261" t="s">
        <v>27</v>
      </c>
      <c r="D261" t="str">
        <f>_xlfn.XLOOKUP(tblStudyData[[#This Row],[Student_ID]],tblStudents[Student_ID],tblStudents[Student_Name],"")</f>
        <v>Priya</v>
      </c>
      <c r="E261" t="str">
        <f>_xlfn.XLOOKUP(tblStudyData[[#This Row],[Student_ID]],tblStudents[Student_ID],tblStudents[Gender],"")</f>
        <v>Female</v>
      </c>
      <c r="F261">
        <f>_xlfn.XLOOKUP(tblStudyData[[#This Row],[Student_ID]],tblStudents[Student_ID],tblStudents[Grade],"")</f>
        <v>10</v>
      </c>
      <c r="G261" t="str">
        <f>_xlfn.XLOOKUP(tblStudyData[[#This Row],[Student_ID]],tblStudents[Student_ID],tblStudents[Class],"")</f>
        <v>A</v>
      </c>
      <c r="H261" t="s">
        <v>40</v>
      </c>
      <c r="I261" t="s">
        <v>113</v>
      </c>
      <c r="J261" t="s">
        <v>88</v>
      </c>
      <c r="K261">
        <v>2</v>
      </c>
      <c r="L261">
        <v>1.2</v>
      </c>
      <c r="M261" t="s">
        <v>52</v>
      </c>
      <c r="N261" t="s">
        <v>420</v>
      </c>
      <c r="O261">
        <v>80</v>
      </c>
      <c r="P261" t="s">
        <v>412</v>
      </c>
      <c r="Q261" s="20">
        <v>0.88</v>
      </c>
      <c r="R261" t="s">
        <v>55</v>
      </c>
      <c r="S261" t="s">
        <v>60</v>
      </c>
      <c r="T261" t="s">
        <v>93</v>
      </c>
      <c r="U261" t="s">
        <v>413</v>
      </c>
      <c r="V261">
        <f>WEEKNUM(tblStudyData[[#This Row],[Date]],2)</f>
        <v>34</v>
      </c>
    </row>
    <row r="262" spans="1:22" x14ac:dyDescent="0.3">
      <c r="A262" t="s">
        <v>362</v>
      </c>
      <c r="B262" s="5">
        <v>46247</v>
      </c>
      <c r="C262" t="s">
        <v>26</v>
      </c>
      <c r="D262" t="str">
        <f>_xlfn.XLOOKUP(tblStudyData[[#This Row],[Student_ID]],tblStudents[Student_ID],tblStudents[Student_Name],"")</f>
        <v>Rahul</v>
      </c>
      <c r="E262" t="str">
        <f>_xlfn.XLOOKUP(tblStudyData[[#This Row],[Student_ID]],tblStudents[Student_ID],tblStudents[Gender],"")</f>
        <v>Male</v>
      </c>
      <c r="F262">
        <f>_xlfn.XLOOKUP(tblStudyData[[#This Row],[Student_ID]],tblStudents[Student_ID],tblStudents[Grade],"")</f>
        <v>10</v>
      </c>
      <c r="G262" t="str">
        <f>_xlfn.XLOOKUP(tblStudyData[[#This Row],[Student_ID]],tblStudents[Student_ID],tblStudents[Class],"")</f>
        <v>A</v>
      </c>
      <c r="H262" t="s">
        <v>40</v>
      </c>
      <c r="I262" t="s">
        <v>113</v>
      </c>
      <c r="J262" t="s">
        <v>88</v>
      </c>
      <c r="K262">
        <v>1</v>
      </c>
      <c r="L262">
        <v>0.8</v>
      </c>
      <c r="M262" t="s">
        <v>52</v>
      </c>
      <c r="N262" t="s">
        <v>420</v>
      </c>
      <c r="O262">
        <v>84</v>
      </c>
      <c r="P262" t="s">
        <v>412</v>
      </c>
      <c r="Q262" s="20">
        <v>0.96</v>
      </c>
      <c r="R262" t="s">
        <v>55</v>
      </c>
      <c r="S262" t="s">
        <v>91</v>
      </c>
      <c r="T262" t="s">
        <v>63</v>
      </c>
      <c r="U262" t="s">
        <v>413</v>
      </c>
      <c r="V262">
        <f>WEEKNUM(tblStudyData[[#This Row],[Date]],2)</f>
        <v>33</v>
      </c>
    </row>
    <row r="263" spans="1:22" x14ac:dyDescent="0.3">
      <c r="A263" t="s">
        <v>363</v>
      </c>
      <c r="B263" s="5">
        <v>46260</v>
      </c>
      <c r="C263" t="s">
        <v>26</v>
      </c>
      <c r="D263" t="str">
        <f>_xlfn.XLOOKUP(tblStudyData[[#This Row],[Student_ID]],tblStudents[Student_ID],tblStudents[Student_Name],"")</f>
        <v>Rahul</v>
      </c>
      <c r="E263" t="str">
        <f>_xlfn.XLOOKUP(tblStudyData[[#This Row],[Student_ID]],tblStudents[Student_ID],tblStudents[Gender],"")</f>
        <v>Male</v>
      </c>
      <c r="F263">
        <f>_xlfn.XLOOKUP(tblStudyData[[#This Row],[Student_ID]],tblStudents[Student_ID],tblStudents[Grade],"")</f>
        <v>10</v>
      </c>
      <c r="G263" t="str">
        <f>_xlfn.XLOOKUP(tblStudyData[[#This Row],[Student_ID]],tblStudents[Student_ID],tblStudents[Class],"")</f>
        <v>A</v>
      </c>
      <c r="H263" t="s">
        <v>40</v>
      </c>
      <c r="I263" t="s">
        <v>113</v>
      </c>
      <c r="J263" t="s">
        <v>50</v>
      </c>
      <c r="K263">
        <v>1</v>
      </c>
      <c r="L263">
        <v>0.9</v>
      </c>
      <c r="M263" t="s">
        <v>52</v>
      </c>
      <c r="N263" t="s">
        <v>420</v>
      </c>
      <c r="O263">
        <v>84</v>
      </c>
      <c r="P263" t="s">
        <v>53</v>
      </c>
      <c r="Q263" s="20">
        <f>IF(tblStudyData[[#This Row],[Attendence_Status]]="Present",100%,IF(tblStudyData[[#This Row],[Attendence_Status]]="Late",80%,IF(tblStudyData[[#This Row],[Attendence_Status]]="Absent",0%,"")))</f>
        <v>1</v>
      </c>
      <c r="R263" t="s">
        <v>55</v>
      </c>
      <c r="S263" t="s">
        <v>60</v>
      </c>
      <c r="T263" t="s">
        <v>64</v>
      </c>
      <c r="U263" t="s">
        <v>410</v>
      </c>
      <c r="V263">
        <f>WEEKNUM(tblStudyData[[#This Row],[Date]],2)</f>
        <v>35</v>
      </c>
    </row>
    <row r="264" spans="1:22" x14ac:dyDescent="0.3">
      <c r="A264" t="s">
        <v>364</v>
      </c>
      <c r="B264" s="5">
        <v>46254</v>
      </c>
      <c r="C264" t="s">
        <v>68</v>
      </c>
      <c r="D264" t="str">
        <f>_xlfn.XLOOKUP(tblStudyData[[#This Row],[Student_ID]],tblStudents[Student_ID],tblStudents[Student_Name],"")</f>
        <v>Divya</v>
      </c>
      <c r="E264" t="str">
        <f>_xlfn.XLOOKUP(tblStudyData[[#This Row],[Student_ID]],tblStudents[Student_ID],tblStudents[Gender],"")</f>
        <v>Female</v>
      </c>
      <c r="F264">
        <f>_xlfn.XLOOKUP(tblStudyData[[#This Row],[Student_ID]],tblStudents[Student_ID],tblStudents[Grade],"")</f>
        <v>12</v>
      </c>
      <c r="G264" t="str">
        <f>_xlfn.XLOOKUP(tblStudyData[[#This Row],[Student_ID]],tblStudents[Student_ID],tblStudents[Class],"")</f>
        <v>B</v>
      </c>
      <c r="H264" t="s">
        <v>40</v>
      </c>
      <c r="I264" t="s">
        <v>113</v>
      </c>
      <c r="J264" t="s">
        <v>49</v>
      </c>
      <c r="K264">
        <v>4</v>
      </c>
      <c r="L264">
        <v>3.8</v>
      </c>
      <c r="M264" t="s">
        <v>52</v>
      </c>
      <c r="N264" t="s">
        <v>420</v>
      </c>
      <c r="O264">
        <v>89</v>
      </c>
      <c r="P264" t="s">
        <v>412</v>
      </c>
      <c r="Q264" s="20">
        <v>1</v>
      </c>
      <c r="R264" t="s">
        <v>54</v>
      </c>
      <c r="S264" t="s">
        <v>59</v>
      </c>
      <c r="T264" t="s">
        <v>93</v>
      </c>
      <c r="U264" t="s">
        <v>413</v>
      </c>
      <c r="V264">
        <f>WEEKNUM(tblStudyData[[#This Row],[Date]],2)</f>
        <v>34</v>
      </c>
    </row>
    <row r="265" spans="1:22" x14ac:dyDescent="0.3">
      <c r="A265" t="s">
        <v>365</v>
      </c>
      <c r="B265" s="5">
        <v>46250</v>
      </c>
      <c r="C265" t="s">
        <v>67</v>
      </c>
      <c r="D265" t="str">
        <f>_xlfn.XLOOKUP(tblStudyData[[#This Row],[Student_ID]],tblStudents[Student_ID],tblStudents[Student_Name],"")</f>
        <v>Rohit</v>
      </c>
      <c r="E265" t="str">
        <f>_xlfn.XLOOKUP(tblStudyData[[#This Row],[Student_ID]],tblStudents[Student_ID],tblStudents[Gender],"")</f>
        <v>Male</v>
      </c>
      <c r="F265">
        <f>_xlfn.XLOOKUP(tblStudyData[[#This Row],[Student_ID]],tblStudents[Student_ID],tblStudents[Grade],"")</f>
        <v>9</v>
      </c>
      <c r="G265" t="str">
        <f>_xlfn.XLOOKUP(tblStudyData[[#This Row],[Student_ID]],tblStudents[Student_ID],tblStudents[Class],"")</f>
        <v>A</v>
      </c>
      <c r="H265" t="s">
        <v>40</v>
      </c>
      <c r="I265" t="s">
        <v>113</v>
      </c>
      <c r="J265" t="s">
        <v>49</v>
      </c>
      <c r="K265">
        <v>4</v>
      </c>
      <c r="L265">
        <v>3.9</v>
      </c>
      <c r="M265" t="s">
        <v>52</v>
      </c>
      <c r="N265" t="s">
        <v>420</v>
      </c>
      <c r="O265">
        <v>88</v>
      </c>
      <c r="P265" t="s">
        <v>412</v>
      </c>
      <c r="Q265" s="20">
        <v>0.88</v>
      </c>
      <c r="R265" t="s">
        <v>56</v>
      </c>
      <c r="S265" t="s">
        <v>60</v>
      </c>
      <c r="T265" t="s">
        <v>63</v>
      </c>
      <c r="U265" t="s">
        <v>413</v>
      </c>
      <c r="V265">
        <f>WEEKNUM(tblStudyData[[#This Row],[Date]],2)</f>
        <v>33</v>
      </c>
    </row>
    <row r="266" spans="1:22" x14ac:dyDescent="0.3">
      <c r="A266" t="s">
        <v>366</v>
      </c>
      <c r="B266" s="5">
        <v>46247</v>
      </c>
      <c r="C266" t="s">
        <v>29</v>
      </c>
      <c r="D266" t="str">
        <f>_xlfn.XLOOKUP(tblStudyData[[#This Row],[Student_ID]],tblStudents[Student_ID],tblStudents[Student_Name],"")</f>
        <v>Sneha</v>
      </c>
      <c r="E266" t="str">
        <f>_xlfn.XLOOKUP(tblStudyData[[#This Row],[Student_ID]],tblStudents[Student_ID],tblStudents[Gender],"")</f>
        <v>Female</v>
      </c>
      <c r="F266">
        <f>_xlfn.XLOOKUP(tblStudyData[[#This Row],[Student_ID]],tblStudents[Student_ID],tblStudents[Grade],"")</f>
        <v>0</v>
      </c>
      <c r="G266" t="str">
        <f>_xlfn.XLOOKUP(tblStudyData[[#This Row],[Student_ID]],tblStudents[Student_ID],tblStudents[Class],"")</f>
        <v>B</v>
      </c>
      <c r="H266" t="s">
        <v>40</v>
      </c>
      <c r="I266" t="s">
        <v>113</v>
      </c>
      <c r="J266" t="s">
        <v>50</v>
      </c>
      <c r="K266">
        <v>4</v>
      </c>
      <c r="L266">
        <v>3.8</v>
      </c>
      <c r="M266" t="s">
        <v>52</v>
      </c>
      <c r="N266" t="s">
        <v>420</v>
      </c>
      <c r="O266">
        <v>89</v>
      </c>
      <c r="P266" t="s">
        <v>409</v>
      </c>
      <c r="Q266" s="20">
        <f>IF(tblStudyData[[#This Row],[Attendence_Status]]="Present",100%,IF(tblStudyData[[#This Row],[Attendence_Status]]="Late",80%,IF(tblStudyData[[#This Row],[Attendence_Status]]="Absent",0%,"")))</f>
        <v>0.8</v>
      </c>
      <c r="R266" t="s">
        <v>55</v>
      </c>
      <c r="S266" t="s">
        <v>60</v>
      </c>
      <c r="T266" t="s">
        <v>62</v>
      </c>
      <c r="U266" t="s">
        <v>410</v>
      </c>
      <c r="V266">
        <f>WEEKNUM(tblStudyData[[#This Row],[Date]],2)</f>
        <v>33</v>
      </c>
    </row>
    <row r="267" spans="1:22" x14ac:dyDescent="0.3">
      <c r="A267" t="s">
        <v>367</v>
      </c>
      <c r="B267" s="5">
        <v>46257</v>
      </c>
      <c r="C267" t="s">
        <v>69</v>
      </c>
      <c r="D267" t="str">
        <f>_xlfn.XLOOKUP(tblStudyData[[#This Row],[Student_ID]],tblStudents[Student_ID],tblStudents[Student_Name],"")</f>
        <v>Vikaram</v>
      </c>
      <c r="E267" t="str">
        <f>_xlfn.XLOOKUP(tblStudyData[[#This Row],[Student_ID]],tblStudents[Student_ID],tblStudents[Gender],"")</f>
        <v>Male</v>
      </c>
      <c r="F267">
        <f>_xlfn.XLOOKUP(tblStudyData[[#This Row],[Student_ID]],tblStudents[Student_ID],tblStudents[Grade],"")</f>
        <v>10</v>
      </c>
      <c r="G267" t="str">
        <f>_xlfn.XLOOKUP(tblStudyData[[#This Row],[Student_ID]],tblStudents[Student_ID],tblStudents[Class],"")</f>
        <v>B</v>
      </c>
      <c r="H267" t="s">
        <v>43</v>
      </c>
      <c r="I267" t="s">
        <v>113</v>
      </c>
      <c r="J267" t="s">
        <v>50</v>
      </c>
      <c r="K267">
        <v>4</v>
      </c>
      <c r="L267">
        <v>3</v>
      </c>
      <c r="M267" t="s">
        <v>52</v>
      </c>
      <c r="N267" t="s">
        <v>420</v>
      </c>
      <c r="O267">
        <v>79</v>
      </c>
      <c r="P267" t="s">
        <v>53</v>
      </c>
      <c r="Q267" s="20">
        <f>IF(tblStudyData[[#This Row],[Attendence_Status]]="Present",100%,IF(tblStudyData[[#This Row],[Attendence_Status]]="Late",80%,IF(tblStudyData[[#This Row],[Attendence_Status]]="Absent",0%,"")))</f>
        <v>1</v>
      </c>
      <c r="R267" t="s">
        <v>55</v>
      </c>
      <c r="S267" t="s">
        <v>58</v>
      </c>
      <c r="T267" t="s">
        <v>61</v>
      </c>
      <c r="U267" t="s">
        <v>411</v>
      </c>
      <c r="V267">
        <f>WEEKNUM(tblStudyData[[#This Row],[Date]],2)</f>
        <v>34</v>
      </c>
    </row>
    <row r="268" spans="1:22" x14ac:dyDescent="0.3">
      <c r="A268" t="s">
        <v>368</v>
      </c>
      <c r="B268" s="5">
        <v>46238</v>
      </c>
      <c r="C268" t="s">
        <v>26</v>
      </c>
      <c r="D268" t="str">
        <f>_xlfn.XLOOKUP(tblStudyData[[#This Row],[Student_ID]],tblStudents[Student_ID],tblStudents[Student_Name],"")</f>
        <v>Rahul</v>
      </c>
      <c r="E268" t="str">
        <f>_xlfn.XLOOKUP(tblStudyData[[#This Row],[Student_ID]],tblStudents[Student_ID],tblStudents[Gender],"")</f>
        <v>Male</v>
      </c>
      <c r="F268">
        <f>_xlfn.XLOOKUP(tblStudyData[[#This Row],[Student_ID]],tblStudents[Student_ID],tblStudents[Grade],"")</f>
        <v>10</v>
      </c>
      <c r="G268" t="str">
        <f>_xlfn.XLOOKUP(tblStudyData[[#This Row],[Student_ID]],tblStudents[Student_ID],tblStudents[Class],"")</f>
        <v>A</v>
      </c>
      <c r="H268" t="s">
        <v>43</v>
      </c>
      <c r="I268" t="s">
        <v>113</v>
      </c>
      <c r="J268" t="s">
        <v>49</v>
      </c>
      <c r="K268">
        <v>2</v>
      </c>
      <c r="L268">
        <v>1.3</v>
      </c>
      <c r="M268" t="s">
        <v>52</v>
      </c>
      <c r="N268" t="s">
        <v>420</v>
      </c>
      <c r="O268">
        <v>73</v>
      </c>
      <c r="P268" t="s">
        <v>412</v>
      </c>
      <c r="Q268" s="20">
        <v>0.98</v>
      </c>
      <c r="R268" t="s">
        <v>56</v>
      </c>
      <c r="S268" t="s">
        <v>58</v>
      </c>
      <c r="T268" t="s">
        <v>64</v>
      </c>
      <c r="U268" t="s">
        <v>413</v>
      </c>
      <c r="V268">
        <f>WEEKNUM(tblStudyData[[#This Row],[Date]],2)</f>
        <v>32</v>
      </c>
    </row>
    <row r="269" spans="1:22" x14ac:dyDescent="0.3">
      <c r="A269" t="s">
        <v>369</v>
      </c>
      <c r="B269" s="5">
        <v>46255</v>
      </c>
      <c r="C269" t="s">
        <v>74</v>
      </c>
      <c r="D269" t="str">
        <f>_xlfn.XLOOKUP(tblStudyData[[#This Row],[Student_ID]],tblStudents[Student_ID],tblStudents[Student_Name],"")</f>
        <v>Kavya</v>
      </c>
      <c r="E269" t="str">
        <f>_xlfn.XLOOKUP(tblStudyData[[#This Row],[Student_ID]],tblStudents[Student_ID],tblStudents[Gender],"")</f>
        <v>Female</v>
      </c>
      <c r="F269">
        <f>_xlfn.XLOOKUP(tblStudyData[[#This Row],[Student_ID]],tblStudents[Student_ID],tblStudents[Grade],"")</f>
        <v>11</v>
      </c>
      <c r="G269" t="str">
        <f>_xlfn.XLOOKUP(tblStudyData[[#This Row],[Student_ID]],tblStudents[Student_ID],tblStudents[Class],"")</f>
        <v>A</v>
      </c>
      <c r="H269" t="s">
        <v>43</v>
      </c>
      <c r="I269" t="s">
        <v>113</v>
      </c>
      <c r="J269" t="s">
        <v>49</v>
      </c>
      <c r="K269">
        <v>3</v>
      </c>
      <c r="L269">
        <v>2.2000000000000002</v>
      </c>
      <c r="M269" t="s">
        <v>52</v>
      </c>
      <c r="N269" t="s">
        <v>420</v>
      </c>
      <c r="O269">
        <v>76</v>
      </c>
      <c r="P269" t="s">
        <v>412</v>
      </c>
      <c r="Q269" s="20">
        <v>0.88</v>
      </c>
      <c r="R269" t="s">
        <v>55</v>
      </c>
      <c r="S269" t="s">
        <v>60</v>
      </c>
      <c r="T269" t="s">
        <v>65</v>
      </c>
      <c r="U269" t="s">
        <v>413</v>
      </c>
      <c r="V269">
        <f>WEEKNUM(tblStudyData[[#This Row],[Date]],2)</f>
        <v>34</v>
      </c>
    </row>
    <row r="270" spans="1:22" x14ac:dyDescent="0.3">
      <c r="A270" t="s">
        <v>370</v>
      </c>
      <c r="B270" s="5">
        <v>46260</v>
      </c>
      <c r="C270" t="s">
        <v>72</v>
      </c>
      <c r="D270" t="str">
        <f>_xlfn.XLOOKUP(tblStudyData[[#This Row],[Student_ID]],tblStudents[Student_ID],tblStudents[Student_Name],"")</f>
        <v>Pooja</v>
      </c>
      <c r="E270" t="str">
        <f>_xlfn.XLOOKUP(tblStudyData[[#This Row],[Student_ID]],tblStudents[Student_ID],tblStudents[Gender],"")</f>
        <v>Female</v>
      </c>
      <c r="F270">
        <f>_xlfn.XLOOKUP(tblStudyData[[#This Row],[Student_ID]],tblStudents[Student_ID],tblStudents[Grade],"")</f>
        <v>12</v>
      </c>
      <c r="G270" t="str">
        <f>_xlfn.XLOOKUP(tblStudyData[[#This Row],[Student_ID]],tblStudents[Student_ID],tblStudents[Class],"")</f>
        <v>A</v>
      </c>
      <c r="H270" t="s">
        <v>43</v>
      </c>
      <c r="I270" t="s">
        <v>113</v>
      </c>
      <c r="J270" t="s">
        <v>88</v>
      </c>
      <c r="K270">
        <v>2</v>
      </c>
      <c r="L270">
        <v>1.5</v>
      </c>
      <c r="M270" t="s">
        <v>52</v>
      </c>
      <c r="N270" t="s">
        <v>420</v>
      </c>
      <c r="O270">
        <v>87</v>
      </c>
      <c r="P270" t="s">
        <v>409</v>
      </c>
      <c r="Q270" s="20">
        <f>IF(tblStudyData[[#This Row],[Attendence_Status]]="Present",100%,IF(tblStudyData[[#This Row],[Attendence_Status]]="Late",80%,IF(tblStudyData[[#This Row],[Attendence_Status]]="Absent",0%,"")))</f>
        <v>0.8</v>
      </c>
      <c r="R270" t="s">
        <v>54</v>
      </c>
      <c r="S270" t="s">
        <v>90</v>
      </c>
      <c r="T270" t="s">
        <v>61</v>
      </c>
      <c r="U270" t="s">
        <v>410</v>
      </c>
      <c r="V270">
        <f>WEEKNUM(tblStudyData[[#This Row],[Date]],2)</f>
        <v>35</v>
      </c>
    </row>
    <row r="271" spans="1:22" x14ac:dyDescent="0.3">
      <c r="A271" t="s">
        <v>371</v>
      </c>
      <c r="B271" s="5">
        <v>46255</v>
      </c>
      <c r="C271" t="s">
        <v>69</v>
      </c>
      <c r="D271" t="str">
        <f>_xlfn.XLOOKUP(tblStudyData[[#This Row],[Student_ID]],tblStudents[Student_ID],tblStudents[Student_Name],"")</f>
        <v>Vikaram</v>
      </c>
      <c r="E271" t="str">
        <f>_xlfn.XLOOKUP(tblStudyData[[#This Row],[Student_ID]],tblStudents[Student_ID],tblStudents[Gender],"")</f>
        <v>Male</v>
      </c>
      <c r="F271">
        <f>_xlfn.XLOOKUP(tblStudyData[[#This Row],[Student_ID]],tblStudents[Student_ID],tblStudents[Grade],"")</f>
        <v>10</v>
      </c>
      <c r="G271" t="str">
        <f>_xlfn.XLOOKUP(tblStudyData[[#This Row],[Student_ID]],tblStudents[Student_ID],tblStudents[Class],"")</f>
        <v>B</v>
      </c>
      <c r="H271" t="s">
        <v>43</v>
      </c>
      <c r="I271" t="s">
        <v>113</v>
      </c>
      <c r="J271" t="s">
        <v>51</v>
      </c>
      <c r="K271">
        <v>2</v>
      </c>
      <c r="L271">
        <v>1.5</v>
      </c>
      <c r="M271" t="s">
        <v>52</v>
      </c>
      <c r="N271" t="s">
        <v>420</v>
      </c>
      <c r="O271">
        <v>75</v>
      </c>
      <c r="P271" t="s">
        <v>412</v>
      </c>
      <c r="Q271" s="20">
        <v>0.78</v>
      </c>
      <c r="R271" t="s">
        <v>54</v>
      </c>
      <c r="S271" t="s">
        <v>90</v>
      </c>
      <c r="T271" t="s">
        <v>93</v>
      </c>
      <c r="U271" t="s">
        <v>413</v>
      </c>
      <c r="V271">
        <f>WEEKNUM(tblStudyData[[#This Row],[Date]],2)</f>
        <v>34</v>
      </c>
    </row>
    <row r="272" spans="1:22" x14ac:dyDescent="0.3">
      <c r="A272" t="s">
        <v>372</v>
      </c>
      <c r="B272" s="5">
        <v>46261</v>
      </c>
      <c r="C272" t="s">
        <v>28</v>
      </c>
      <c r="D272" t="str">
        <f>_xlfn.XLOOKUP(tblStudyData[[#This Row],[Student_ID]],tblStudents[Student_ID],tblStudents[Student_Name],"")</f>
        <v>Arjun</v>
      </c>
      <c r="E272" t="str">
        <f>_xlfn.XLOOKUP(tblStudyData[[#This Row],[Student_ID]],tblStudents[Student_ID],tblStudents[Gender],"")</f>
        <v>Male</v>
      </c>
      <c r="F272">
        <f>_xlfn.XLOOKUP(tblStudyData[[#This Row],[Student_ID]],tblStudents[Student_ID],tblStudents[Grade],"")</f>
        <v>11</v>
      </c>
      <c r="G272" t="str">
        <f>_xlfn.XLOOKUP(tblStudyData[[#This Row],[Student_ID]],tblStudents[Student_ID],tblStudents[Class],"")</f>
        <v>B</v>
      </c>
      <c r="H272" t="s">
        <v>43</v>
      </c>
      <c r="I272" t="s">
        <v>113</v>
      </c>
      <c r="J272" t="s">
        <v>88</v>
      </c>
      <c r="K272">
        <v>1</v>
      </c>
      <c r="L272">
        <v>0.8</v>
      </c>
      <c r="M272" t="s">
        <v>52</v>
      </c>
      <c r="N272" t="s">
        <v>420</v>
      </c>
      <c r="O272">
        <v>80</v>
      </c>
      <c r="P272" t="s">
        <v>412</v>
      </c>
      <c r="Q272" s="20">
        <v>0.96</v>
      </c>
      <c r="R272" t="s">
        <v>56</v>
      </c>
      <c r="S272" t="s">
        <v>91</v>
      </c>
      <c r="T272" t="s">
        <v>61</v>
      </c>
      <c r="U272" t="s">
        <v>413</v>
      </c>
      <c r="V272">
        <f>WEEKNUM(tblStudyData[[#This Row],[Date]],2)</f>
        <v>35</v>
      </c>
    </row>
    <row r="273" spans="1:22" x14ac:dyDescent="0.3">
      <c r="A273" t="s">
        <v>373</v>
      </c>
      <c r="B273" s="5">
        <v>46235</v>
      </c>
      <c r="C273" t="s">
        <v>26</v>
      </c>
      <c r="D273" t="str">
        <f>_xlfn.XLOOKUP(tblStudyData[[#This Row],[Student_ID]],tblStudents[Student_ID],tblStudents[Student_Name],"")</f>
        <v>Rahul</v>
      </c>
      <c r="E273" t="str">
        <f>_xlfn.XLOOKUP(tblStudyData[[#This Row],[Student_ID]],tblStudents[Student_ID],tblStudents[Gender],"")</f>
        <v>Male</v>
      </c>
      <c r="F273">
        <f>_xlfn.XLOOKUP(tblStudyData[[#This Row],[Student_ID]],tblStudents[Student_ID],tblStudents[Grade],"")</f>
        <v>10</v>
      </c>
      <c r="G273" t="str">
        <f>_xlfn.XLOOKUP(tblStudyData[[#This Row],[Student_ID]],tblStudents[Student_ID],tblStudents[Class],"")</f>
        <v>A</v>
      </c>
      <c r="H273" t="s">
        <v>86</v>
      </c>
      <c r="I273" t="s">
        <v>113</v>
      </c>
      <c r="J273" t="s">
        <v>51</v>
      </c>
      <c r="K273">
        <v>1</v>
      </c>
      <c r="L273">
        <v>0.7</v>
      </c>
      <c r="M273" t="s">
        <v>52</v>
      </c>
      <c r="N273" t="s">
        <v>420</v>
      </c>
      <c r="O273">
        <v>79</v>
      </c>
      <c r="P273" t="s">
        <v>53</v>
      </c>
      <c r="Q273" s="20">
        <f>IF(tblStudyData[[#This Row],[Attendence_Status]]="Present",100%,IF(tblStudyData[[#This Row],[Attendence_Status]]="Late",80%,IF(tblStudyData[[#This Row],[Attendence_Status]]="Absent",0%,"")))</f>
        <v>1</v>
      </c>
      <c r="R273" t="s">
        <v>54</v>
      </c>
      <c r="S273" t="s">
        <v>91</v>
      </c>
      <c r="T273" t="s">
        <v>61</v>
      </c>
      <c r="U273" t="s">
        <v>411</v>
      </c>
      <c r="V273">
        <f>WEEKNUM(tblStudyData[[#This Row],[Date]],2)</f>
        <v>31</v>
      </c>
    </row>
    <row r="274" spans="1:22" x14ac:dyDescent="0.3">
      <c r="A274" t="s">
        <v>374</v>
      </c>
      <c r="B274" s="5">
        <v>46250</v>
      </c>
      <c r="C274" t="s">
        <v>71</v>
      </c>
      <c r="D274" t="str">
        <f>_xlfn.XLOOKUP(tblStudyData[[#This Row],[Student_ID]],tblStudents[Student_ID],tblStudents[Student_Name],"")</f>
        <v>Sai</v>
      </c>
      <c r="E274" t="str">
        <f>_xlfn.XLOOKUP(tblStudyData[[#This Row],[Student_ID]],tblStudents[Student_ID],tblStudents[Gender],"")</f>
        <v>Male</v>
      </c>
      <c r="F274">
        <f>_xlfn.XLOOKUP(tblStudyData[[#This Row],[Student_ID]],tblStudents[Student_ID],tblStudents[Grade],"")</f>
        <v>9</v>
      </c>
      <c r="G274" t="str">
        <f>_xlfn.XLOOKUP(tblStudyData[[#This Row],[Student_ID]],tblStudents[Student_ID],tblStudents[Class],"")</f>
        <v>B</v>
      </c>
      <c r="H274" t="s">
        <v>86</v>
      </c>
      <c r="I274" t="s">
        <v>113</v>
      </c>
      <c r="J274" t="s">
        <v>51</v>
      </c>
      <c r="K274">
        <v>2</v>
      </c>
      <c r="L274">
        <v>1.7</v>
      </c>
      <c r="M274" t="s">
        <v>52</v>
      </c>
      <c r="N274" t="s">
        <v>420</v>
      </c>
      <c r="O274">
        <v>95</v>
      </c>
      <c r="P274" t="s">
        <v>409</v>
      </c>
      <c r="Q274" s="20">
        <f>IF(tblStudyData[[#This Row],[Attendence_Status]]="Present",100%,IF(tblStudyData[[#This Row],[Attendence_Status]]="Late",80%,IF(tblStudyData[[#This Row],[Attendence_Status]]="Absent",0%,"")))</f>
        <v>0.8</v>
      </c>
      <c r="R274" t="s">
        <v>54</v>
      </c>
      <c r="S274" t="s">
        <v>57</v>
      </c>
      <c r="T274" t="s">
        <v>64</v>
      </c>
      <c r="U274" t="s">
        <v>411</v>
      </c>
      <c r="V274">
        <f>WEEKNUM(tblStudyData[[#This Row],[Date]],2)</f>
        <v>33</v>
      </c>
    </row>
    <row r="275" spans="1:22" x14ac:dyDescent="0.3">
      <c r="A275" t="s">
        <v>375</v>
      </c>
      <c r="B275" s="5">
        <v>46255</v>
      </c>
      <c r="C275" t="s">
        <v>70</v>
      </c>
      <c r="D275" t="str">
        <f>_xlfn.XLOOKUP(tblStudyData[[#This Row],[Student_ID]],tblStudents[Student_ID],tblStudents[Student_Name],"")</f>
        <v>Neha</v>
      </c>
      <c r="E275" t="str">
        <f>_xlfn.XLOOKUP(tblStudyData[[#This Row],[Student_ID]],tblStudents[Student_ID],tblStudents[Gender],"")</f>
        <v>Female</v>
      </c>
      <c r="F275">
        <f>_xlfn.XLOOKUP(tblStudyData[[#This Row],[Student_ID]],tblStudents[Student_ID],tblStudents[Grade],"")</f>
        <v>11</v>
      </c>
      <c r="G275" t="str">
        <f>_xlfn.XLOOKUP(tblStudyData[[#This Row],[Student_ID]],tblStudents[Student_ID],tblStudents[Class],"")</f>
        <v>B</v>
      </c>
      <c r="H275" t="s">
        <v>86</v>
      </c>
      <c r="I275" t="s">
        <v>113</v>
      </c>
      <c r="J275" t="s">
        <v>49</v>
      </c>
      <c r="K275">
        <v>3</v>
      </c>
      <c r="L275">
        <v>2.2000000000000002</v>
      </c>
      <c r="M275" t="s">
        <v>52</v>
      </c>
      <c r="N275" t="s">
        <v>420</v>
      </c>
      <c r="O275">
        <v>74</v>
      </c>
      <c r="P275" t="s">
        <v>412</v>
      </c>
      <c r="Q275" s="20">
        <v>0.88</v>
      </c>
      <c r="R275" t="s">
        <v>54</v>
      </c>
      <c r="S275" t="s">
        <v>90</v>
      </c>
      <c r="T275" t="s">
        <v>63</v>
      </c>
      <c r="U275" t="s">
        <v>413</v>
      </c>
      <c r="V275">
        <f>WEEKNUM(tblStudyData[[#This Row],[Date]],2)</f>
        <v>34</v>
      </c>
    </row>
    <row r="276" spans="1:22" x14ac:dyDescent="0.3">
      <c r="A276" t="s">
        <v>376</v>
      </c>
      <c r="B276" s="5">
        <v>46244</v>
      </c>
      <c r="C276" t="s">
        <v>66</v>
      </c>
      <c r="D276" t="str">
        <f>_xlfn.XLOOKUP(tblStudyData[[#This Row],[Student_ID]],tblStudents[Student_ID],tblStudents[Student_Name],"")</f>
        <v>Anjali</v>
      </c>
      <c r="E276" t="str">
        <f>_xlfn.XLOOKUP(tblStudyData[[#This Row],[Student_ID]],tblStudents[Student_ID],tblStudents[Gender],"")</f>
        <v>Female</v>
      </c>
      <c r="F276">
        <f>_xlfn.XLOOKUP(tblStudyData[[#This Row],[Student_ID]],tblStudents[Student_ID],tblStudents[Grade],"")</f>
        <v>11</v>
      </c>
      <c r="G276" t="str">
        <f>_xlfn.XLOOKUP(tblStudyData[[#This Row],[Student_ID]],tblStudents[Student_ID],tblStudents[Class],"")</f>
        <v>A</v>
      </c>
      <c r="H276" t="s">
        <v>86</v>
      </c>
      <c r="I276" t="s">
        <v>113</v>
      </c>
      <c r="J276" t="s">
        <v>50</v>
      </c>
      <c r="K276">
        <v>4</v>
      </c>
      <c r="L276">
        <v>3.3</v>
      </c>
      <c r="M276" t="s">
        <v>52</v>
      </c>
      <c r="N276" t="s">
        <v>420</v>
      </c>
      <c r="O276">
        <v>91</v>
      </c>
      <c r="P276" t="s">
        <v>409</v>
      </c>
      <c r="Q276" s="20">
        <f>IF(tblStudyData[[#This Row],[Attendence_Status]]="Present",100%,IF(tblStudyData[[#This Row],[Attendence_Status]]="Late",80%,IF(tblStudyData[[#This Row],[Attendence_Status]]="Absent",0%,"")))</f>
        <v>0.8</v>
      </c>
      <c r="R276" t="s">
        <v>56</v>
      </c>
      <c r="S276" t="s">
        <v>57</v>
      </c>
      <c r="T276" t="s">
        <v>62</v>
      </c>
      <c r="U276" t="s">
        <v>411</v>
      </c>
      <c r="V276">
        <f>WEEKNUM(tblStudyData[[#This Row],[Date]],2)</f>
        <v>33</v>
      </c>
    </row>
    <row r="277" spans="1:22" x14ac:dyDescent="0.3">
      <c r="A277" t="s">
        <v>377</v>
      </c>
      <c r="B277" s="5">
        <v>46243</v>
      </c>
      <c r="C277" t="s">
        <v>30</v>
      </c>
      <c r="D277" t="str">
        <f>_xlfn.XLOOKUP(tblStudyData[[#This Row],[Student_ID]],tblStudents[Student_ID],tblStudents[Student_Name],"")</f>
        <v>Kiran</v>
      </c>
      <c r="E277" t="str">
        <f>_xlfn.XLOOKUP(tblStudyData[[#This Row],[Student_ID]],tblStudents[Student_ID],tblStudents[Gender],"")</f>
        <v>Male</v>
      </c>
      <c r="F277">
        <f>_xlfn.XLOOKUP(tblStudyData[[#This Row],[Student_ID]],tblStudents[Student_ID],tblStudents[Grade],"")</f>
        <v>12</v>
      </c>
      <c r="G277" t="str">
        <f>_xlfn.XLOOKUP(tblStudyData[[#This Row],[Student_ID]],tblStudents[Student_ID],tblStudents[Class],"")</f>
        <v>A</v>
      </c>
      <c r="H277" t="s">
        <v>86</v>
      </c>
      <c r="I277" t="s">
        <v>113</v>
      </c>
      <c r="J277" t="s">
        <v>88</v>
      </c>
      <c r="K277">
        <v>2</v>
      </c>
      <c r="L277">
        <v>1.8</v>
      </c>
      <c r="M277" t="s">
        <v>52</v>
      </c>
      <c r="N277" t="s">
        <v>420</v>
      </c>
      <c r="O277">
        <v>78</v>
      </c>
      <c r="P277" t="s">
        <v>53</v>
      </c>
      <c r="Q277" s="20">
        <f>IF(tblStudyData[[#This Row],[Attendence_Status]]="Present",100%,IF(tblStudyData[[#This Row],[Attendence_Status]]="Late",80%,IF(tblStudyData[[#This Row],[Attendence_Status]]="Absent",0%,"")))</f>
        <v>1</v>
      </c>
      <c r="R277" t="s">
        <v>54</v>
      </c>
      <c r="S277" t="s">
        <v>90</v>
      </c>
      <c r="T277" t="s">
        <v>63</v>
      </c>
      <c r="U277" t="s">
        <v>411</v>
      </c>
      <c r="V277">
        <f>WEEKNUM(tblStudyData[[#This Row],[Date]],2)</f>
        <v>32</v>
      </c>
    </row>
    <row r="278" spans="1:22" x14ac:dyDescent="0.3">
      <c r="A278" t="s">
        <v>378</v>
      </c>
      <c r="B278" s="5">
        <v>46240</v>
      </c>
      <c r="C278" t="s">
        <v>66</v>
      </c>
      <c r="D278" t="str">
        <f>_xlfn.XLOOKUP(tblStudyData[[#This Row],[Student_ID]],tblStudents[Student_ID],tblStudents[Student_Name],"")</f>
        <v>Anjali</v>
      </c>
      <c r="E278" t="str">
        <f>_xlfn.XLOOKUP(tblStudyData[[#This Row],[Student_ID]],tblStudents[Student_ID],tblStudents[Gender],"")</f>
        <v>Female</v>
      </c>
      <c r="F278">
        <f>_xlfn.XLOOKUP(tblStudyData[[#This Row],[Student_ID]],tblStudents[Student_ID],tblStudents[Grade],"")</f>
        <v>11</v>
      </c>
      <c r="G278" t="str">
        <f>_xlfn.XLOOKUP(tblStudyData[[#This Row],[Student_ID]],tblStudents[Student_ID],tblStudents[Class],"")</f>
        <v>A</v>
      </c>
      <c r="H278" t="s">
        <v>86</v>
      </c>
      <c r="I278" t="s">
        <v>113</v>
      </c>
      <c r="J278" t="s">
        <v>88</v>
      </c>
      <c r="K278">
        <v>2</v>
      </c>
      <c r="L278">
        <v>1.4</v>
      </c>
      <c r="M278" t="s">
        <v>52</v>
      </c>
      <c r="N278" t="s">
        <v>420</v>
      </c>
      <c r="O278">
        <v>78</v>
      </c>
      <c r="P278" t="s">
        <v>412</v>
      </c>
      <c r="Q278" s="20">
        <v>0.98</v>
      </c>
      <c r="R278" t="s">
        <v>54</v>
      </c>
      <c r="S278" t="s">
        <v>91</v>
      </c>
      <c r="T278" t="s">
        <v>64</v>
      </c>
      <c r="U278" t="s">
        <v>413</v>
      </c>
      <c r="V278">
        <f>WEEKNUM(tblStudyData[[#This Row],[Date]],2)</f>
        <v>32</v>
      </c>
    </row>
    <row r="279" spans="1:22" x14ac:dyDescent="0.3">
      <c r="A279" t="s">
        <v>379</v>
      </c>
      <c r="B279" s="5">
        <v>46260</v>
      </c>
      <c r="C279" t="s">
        <v>74</v>
      </c>
      <c r="D279" t="str">
        <f>_xlfn.XLOOKUP(tblStudyData[[#This Row],[Student_ID]],tblStudents[Student_ID],tblStudents[Student_Name],"")</f>
        <v>Kavya</v>
      </c>
      <c r="E279" t="str">
        <f>_xlfn.XLOOKUP(tblStudyData[[#This Row],[Student_ID]],tblStudents[Student_ID],tblStudents[Gender],"")</f>
        <v>Female</v>
      </c>
      <c r="F279">
        <f>_xlfn.XLOOKUP(tblStudyData[[#This Row],[Student_ID]],tblStudents[Student_ID],tblStudents[Grade],"")</f>
        <v>11</v>
      </c>
      <c r="G279" t="str">
        <f>_xlfn.XLOOKUP(tblStudyData[[#This Row],[Student_ID]],tblStudents[Student_ID],tblStudents[Class],"")</f>
        <v>A</v>
      </c>
      <c r="H279" t="s">
        <v>86</v>
      </c>
      <c r="I279" t="s">
        <v>113</v>
      </c>
      <c r="J279" t="s">
        <v>50</v>
      </c>
      <c r="K279">
        <v>4</v>
      </c>
      <c r="L279">
        <v>3.8</v>
      </c>
      <c r="M279" t="s">
        <v>52</v>
      </c>
      <c r="N279" t="s">
        <v>420</v>
      </c>
      <c r="O279">
        <v>87</v>
      </c>
      <c r="P279" t="s">
        <v>409</v>
      </c>
      <c r="Q279" s="20">
        <f>IF(tblStudyData[[#This Row],[Attendence_Status]]="Present",100%,IF(tblStudyData[[#This Row],[Attendence_Status]]="Late",80%,IF(tblStudyData[[#This Row],[Attendence_Status]]="Absent",0%,"")))</f>
        <v>0.8</v>
      </c>
      <c r="R279" t="s">
        <v>56</v>
      </c>
      <c r="S279" t="s">
        <v>91</v>
      </c>
      <c r="T279" t="s">
        <v>62</v>
      </c>
      <c r="U279" t="s">
        <v>411</v>
      </c>
      <c r="V279">
        <f>WEEKNUM(tblStudyData[[#This Row],[Date]],2)</f>
        <v>35</v>
      </c>
    </row>
    <row r="280" spans="1:22" x14ac:dyDescent="0.3">
      <c r="A280" t="s">
        <v>380</v>
      </c>
      <c r="B280" s="5">
        <v>46239</v>
      </c>
      <c r="C280" t="s">
        <v>68</v>
      </c>
      <c r="D280" t="str">
        <f>_xlfn.XLOOKUP(tblStudyData[[#This Row],[Student_ID]],tblStudents[Student_ID],tblStudents[Student_Name],"")</f>
        <v>Divya</v>
      </c>
      <c r="E280" t="str">
        <f>_xlfn.XLOOKUP(tblStudyData[[#This Row],[Student_ID]],tblStudents[Student_ID],tblStudents[Gender],"")</f>
        <v>Female</v>
      </c>
      <c r="F280">
        <f>_xlfn.XLOOKUP(tblStudyData[[#This Row],[Student_ID]],tblStudents[Student_ID],tblStudents[Grade],"")</f>
        <v>12</v>
      </c>
      <c r="G280" t="str">
        <f>_xlfn.XLOOKUP(tblStudyData[[#This Row],[Student_ID]],tblStudents[Student_ID],tblStudents[Class],"")</f>
        <v>B</v>
      </c>
      <c r="H280" t="s">
        <v>86</v>
      </c>
      <c r="I280" t="s">
        <v>113</v>
      </c>
      <c r="J280" t="s">
        <v>49</v>
      </c>
      <c r="K280">
        <v>4</v>
      </c>
      <c r="L280">
        <v>2.6</v>
      </c>
      <c r="M280" t="s">
        <v>52</v>
      </c>
      <c r="N280" t="s">
        <v>420</v>
      </c>
      <c r="O280">
        <v>73</v>
      </c>
      <c r="P280" t="s">
        <v>53</v>
      </c>
      <c r="Q280" s="20">
        <f>IF(tblStudyData[[#This Row],[Attendence_Status]]="Present",100%,IF(tblStudyData[[#This Row],[Attendence_Status]]="Late",80%,IF(tblStudyData[[#This Row],[Attendence_Status]]="Absent",0%,"")))</f>
        <v>1</v>
      </c>
      <c r="R280" t="s">
        <v>56</v>
      </c>
      <c r="S280" t="s">
        <v>60</v>
      </c>
      <c r="T280" t="s">
        <v>62</v>
      </c>
      <c r="U280" t="s">
        <v>411</v>
      </c>
      <c r="V280">
        <f>WEEKNUM(tblStudyData[[#This Row],[Date]],2)</f>
        <v>32</v>
      </c>
    </row>
    <row r="281" spans="1:22" x14ac:dyDescent="0.3">
      <c r="A281" t="s">
        <v>381</v>
      </c>
      <c r="B281" s="5">
        <v>46241</v>
      </c>
      <c r="C281" t="s">
        <v>71</v>
      </c>
      <c r="D281" t="str">
        <f>_xlfn.XLOOKUP(tblStudyData[[#This Row],[Student_ID]],tblStudents[Student_ID],tblStudents[Student_Name],"")</f>
        <v>Sai</v>
      </c>
      <c r="E281" t="str">
        <f>_xlfn.XLOOKUP(tblStudyData[[#This Row],[Student_ID]],tblStudents[Student_ID],tblStudents[Gender],"")</f>
        <v>Male</v>
      </c>
      <c r="F281">
        <f>_xlfn.XLOOKUP(tblStudyData[[#This Row],[Student_ID]],tblStudents[Student_ID],tblStudents[Grade],"")</f>
        <v>9</v>
      </c>
      <c r="G281" t="str">
        <f>_xlfn.XLOOKUP(tblStudyData[[#This Row],[Student_ID]],tblStudents[Student_ID],tblStudents[Class],"")</f>
        <v>B</v>
      </c>
      <c r="H281" t="s">
        <v>86</v>
      </c>
      <c r="I281" t="s">
        <v>113</v>
      </c>
      <c r="J281" t="s">
        <v>88</v>
      </c>
      <c r="K281">
        <v>4</v>
      </c>
      <c r="L281">
        <v>2.8</v>
      </c>
      <c r="M281" t="s">
        <v>52</v>
      </c>
      <c r="N281" t="s">
        <v>420</v>
      </c>
      <c r="O281">
        <v>81</v>
      </c>
      <c r="P281" t="s">
        <v>409</v>
      </c>
      <c r="Q281" s="20">
        <f>IF(tblStudyData[[#This Row],[Attendence_Status]]="Present",100%,IF(tblStudyData[[#This Row],[Attendence_Status]]="Late",80%,IF(tblStudyData[[#This Row],[Attendence_Status]]="Absent",0%,"")))</f>
        <v>0.8</v>
      </c>
      <c r="R281" t="s">
        <v>56</v>
      </c>
      <c r="S281" t="s">
        <v>58</v>
      </c>
      <c r="T281" t="s">
        <v>62</v>
      </c>
      <c r="U281" t="s">
        <v>411</v>
      </c>
      <c r="V281">
        <f>WEEKNUM(tblStudyData[[#This Row],[Date]],2)</f>
        <v>32</v>
      </c>
    </row>
    <row r="282" spans="1:22" x14ac:dyDescent="0.3">
      <c r="A282" t="s">
        <v>382</v>
      </c>
      <c r="B282" s="5">
        <v>46243</v>
      </c>
      <c r="C282" t="s">
        <v>28</v>
      </c>
      <c r="D282" t="str">
        <f>_xlfn.XLOOKUP(tblStudyData[[#This Row],[Student_ID]],tblStudents[Student_ID],tblStudents[Student_Name],"")</f>
        <v>Arjun</v>
      </c>
      <c r="E282" t="str">
        <f>_xlfn.XLOOKUP(tblStudyData[[#This Row],[Student_ID]],tblStudents[Student_ID],tblStudents[Gender],"")</f>
        <v>Male</v>
      </c>
      <c r="F282">
        <f>_xlfn.XLOOKUP(tblStudyData[[#This Row],[Student_ID]],tblStudents[Student_ID],tblStudents[Grade],"")</f>
        <v>11</v>
      </c>
      <c r="G282" t="str">
        <f>_xlfn.XLOOKUP(tblStudyData[[#This Row],[Student_ID]],tblStudents[Student_ID],tblStudents[Class],"")</f>
        <v>B</v>
      </c>
      <c r="H282" t="s">
        <v>42</v>
      </c>
      <c r="I282" t="s">
        <v>113</v>
      </c>
      <c r="J282" t="s">
        <v>88</v>
      </c>
      <c r="K282">
        <v>1</v>
      </c>
      <c r="L282">
        <v>1</v>
      </c>
      <c r="M282" t="s">
        <v>52</v>
      </c>
      <c r="N282" t="s">
        <v>420</v>
      </c>
      <c r="O282">
        <v>77</v>
      </c>
      <c r="P282" t="s">
        <v>412</v>
      </c>
      <c r="Q282" s="20">
        <v>1</v>
      </c>
      <c r="R282" t="s">
        <v>55</v>
      </c>
      <c r="S282" t="s">
        <v>90</v>
      </c>
      <c r="T282" t="s">
        <v>62</v>
      </c>
      <c r="U282" t="s">
        <v>413</v>
      </c>
      <c r="V282">
        <f>WEEKNUM(tblStudyData[[#This Row],[Date]],2)</f>
        <v>32</v>
      </c>
    </row>
    <row r="283" spans="1:22" x14ac:dyDescent="0.3">
      <c r="A283" t="s">
        <v>383</v>
      </c>
      <c r="B283" s="5">
        <v>46236</v>
      </c>
      <c r="C283" t="s">
        <v>27</v>
      </c>
      <c r="D283" t="str">
        <f>_xlfn.XLOOKUP(tblStudyData[[#This Row],[Student_ID]],tblStudents[Student_ID],tblStudents[Student_Name],"")</f>
        <v>Priya</v>
      </c>
      <c r="E283" t="str">
        <f>_xlfn.XLOOKUP(tblStudyData[[#This Row],[Student_ID]],tblStudents[Student_ID],tblStudents[Gender],"")</f>
        <v>Female</v>
      </c>
      <c r="F283">
        <f>_xlfn.XLOOKUP(tblStudyData[[#This Row],[Student_ID]],tblStudents[Student_ID],tblStudents[Grade],"")</f>
        <v>10</v>
      </c>
      <c r="G283" t="str">
        <f>_xlfn.XLOOKUP(tblStudyData[[#This Row],[Student_ID]],tblStudents[Student_ID],tblStudents[Class],"")</f>
        <v>A</v>
      </c>
      <c r="H283" t="s">
        <v>42</v>
      </c>
      <c r="I283" t="s">
        <v>113</v>
      </c>
      <c r="J283" t="s">
        <v>51</v>
      </c>
      <c r="K283">
        <v>1</v>
      </c>
      <c r="L283">
        <v>0.8</v>
      </c>
      <c r="M283" t="s">
        <v>52</v>
      </c>
      <c r="N283" t="s">
        <v>420</v>
      </c>
      <c r="O283">
        <v>85</v>
      </c>
      <c r="P283" t="s">
        <v>409</v>
      </c>
      <c r="Q283" s="20">
        <f>IF(tblStudyData[[#This Row],[Attendence_Status]]="Present",100%,IF(tblStudyData[[#This Row],[Attendence_Status]]="Late",80%,IF(tblStudyData[[#This Row],[Attendence_Status]]="Absent",0%,"")))</f>
        <v>0.8</v>
      </c>
      <c r="R283" t="s">
        <v>55</v>
      </c>
      <c r="S283" t="s">
        <v>90</v>
      </c>
      <c r="T283" t="s">
        <v>61</v>
      </c>
      <c r="U283" t="s">
        <v>410</v>
      </c>
      <c r="V283">
        <f>WEEKNUM(tblStudyData[[#This Row],[Date]],2)</f>
        <v>31</v>
      </c>
    </row>
    <row r="284" spans="1:22" x14ac:dyDescent="0.3">
      <c r="A284" t="s">
        <v>384</v>
      </c>
      <c r="B284" s="5">
        <v>46263</v>
      </c>
      <c r="C284" t="s">
        <v>74</v>
      </c>
      <c r="D284" t="str">
        <f>_xlfn.XLOOKUP(tblStudyData[[#This Row],[Student_ID]],tblStudents[Student_ID],tblStudents[Student_Name],"")</f>
        <v>Kavya</v>
      </c>
      <c r="E284" t="str">
        <f>_xlfn.XLOOKUP(tblStudyData[[#This Row],[Student_ID]],tblStudents[Student_ID],tblStudents[Gender],"")</f>
        <v>Female</v>
      </c>
      <c r="F284">
        <f>_xlfn.XLOOKUP(tblStudyData[[#This Row],[Student_ID]],tblStudents[Student_ID],tblStudents[Grade],"")</f>
        <v>11</v>
      </c>
      <c r="G284" t="str">
        <f>_xlfn.XLOOKUP(tblStudyData[[#This Row],[Student_ID]],tblStudents[Student_ID],tblStudents[Class],"")</f>
        <v>A</v>
      </c>
      <c r="H284" t="s">
        <v>42</v>
      </c>
      <c r="I284" t="s">
        <v>113</v>
      </c>
      <c r="J284" t="s">
        <v>50</v>
      </c>
      <c r="K284">
        <v>2</v>
      </c>
      <c r="L284">
        <v>1.8</v>
      </c>
      <c r="M284" t="s">
        <v>52</v>
      </c>
      <c r="N284" t="s">
        <v>420</v>
      </c>
      <c r="O284">
        <v>86</v>
      </c>
      <c r="P284" t="s">
        <v>412</v>
      </c>
      <c r="Q284" s="20">
        <v>1</v>
      </c>
      <c r="R284" t="s">
        <v>54</v>
      </c>
      <c r="S284" t="s">
        <v>57</v>
      </c>
      <c r="T284" t="s">
        <v>64</v>
      </c>
      <c r="U284" t="s">
        <v>413</v>
      </c>
      <c r="V284">
        <f>WEEKNUM(tblStudyData[[#This Row],[Date]],2)</f>
        <v>35</v>
      </c>
    </row>
    <row r="285" spans="1:22" x14ac:dyDescent="0.3">
      <c r="A285" t="s">
        <v>385</v>
      </c>
      <c r="B285" s="5">
        <v>46252</v>
      </c>
      <c r="C285" t="s">
        <v>30</v>
      </c>
      <c r="D285" t="str">
        <f>_xlfn.XLOOKUP(tblStudyData[[#This Row],[Student_ID]],tblStudents[Student_ID],tblStudents[Student_Name],"")</f>
        <v>Kiran</v>
      </c>
      <c r="E285" t="str">
        <f>_xlfn.XLOOKUP(tblStudyData[[#This Row],[Student_ID]],tblStudents[Student_ID],tblStudents[Gender],"")</f>
        <v>Male</v>
      </c>
      <c r="F285">
        <f>_xlfn.XLOOKUP(tblStudyData[[#This Row],[Student_ID]],tblStudents[Student_ID],tblStudents[Grade],"")</f>
        <v>12</v>
      </c>
      <c r="G285" t="str">
        <f>_xlfn.XLOOKUP(tblStudyData[[#This Row],[Student_ID]],tblStudents[Student_ID],tblStudents[Class],"")</f>
        <v>A</v>
      </c>
      <c r="H285" t="s">
        <v>42</v>
      </c>
      <c r="I285" t="s">
        <v>113</v>
      </c>
      <c r="J285" t="s">
        <v>49</v>
      </c>
      <c r="K285">
        <v>4</v>
      </c>
      <c r="L285">
        <v>3.4</v>
      </c>
      <c r="M285" t="s">
        <v>52</v>
      </c>
      <c r="N285" t="s">
        <v>420</v>
      </c>
      <c r="O285">
        <v>93</v>
      </c>
      <c r="P285" t="s">
        <v>53</v>
      </c>
      <c r="Q285" s="20">
        <f>IF(tblStudyData[[#This Row],[Attendence_Status]]="Present",100%,IF(tblStudyData[[#This Row],[Attendence_Status]]="Late",80%,IF(tblStudyData[[#This Row],[Attendence_Status]]="Absent",0%,"")))</f>
        <v>1</v>
      </c>
      <c r="R285" t="s">
        <v>56</v>
      </c>
      <c r="S285" t="s">
        <v>60</v>
      </c>
      <c r="T285" t="s">
        <v>65</v>
      </c>
      <c r="U285" t="s">
        <v>414</v>
      </c>
      <c r="V285">
        <f>WEEKNUM(tblStudyData[[#This Row],[Date]],2)</f>
        <v>34</v>
      </c>
    </row>
    <row r="286" spans="1:22" x14ac:dyDescent="0.3">
      <c r="A286" t="s">
        <v>386</v>
      </c>
      <c r="B286" s="5">
        <v>46254</v>
      </c>
      <c r="C286" t="s">
        <v>70</v>
      </c>
      <c r="D286" t="str">
        <f>_xlfn.XLOOKUP(tblStudyData[[#This Row],[Student_ID]],tblStudents[Student_ID],tblStudents[Student_Name],"")</f>
        <v>Neha</v>
      </c>
      <c r="E286" t="str">
        <f>_xlfn.XLOOKUP(tblStudyData[[#This Row],[Student_ID]],tblStudents[Student_ID],tblStudents[Gender],"")</f>
        <v>Female</v>
      </c>
      <c r="F286">
        <f>_xlfn.XLOOKUP(tblStudyData[[#This Row],[Student_ID]],tblStudents[Student_ID],tblStudents[Grade],"")</f>
        <v>11</v>
      </c>
      <c r="G286" t="str">
        <f>_xlfn.XLOOKUP(tblStudyData[[#This Row],[Student_ID]],tblStudents[Student_ID],tblStudents[Class],"")</f>
        <v>B</v>
      </c>
      <c r="H286" t="s">
        <v>42</v>
      </c>
      <c r="I286" t="s">
        <v>113</v>
      </c>
      <c r="J286" t="s">
        <v>50</v>
      </c>
      <c r="K286">
        <v>3</v>
      </c>
      <c r="L286">
        <v>2.2000000000000002</v>
      </c>
      <c r="M286" t="s">
        <v>52</v>
      </c>
      <c r="N286" t="s">
        <v>420</v>
      </c>
      <c r="O286">
        <v>81</v>
      </c>
      <c r="P286" t="s">
        <v>412</v>
      </c>
      <c r="Q286" s="20">
        <v>0.78</v>
      </c>
      <c r="R286" t="s">
        <v>55</v>
      </c>
      <c r="S286" t="s">
        <v>59</v>
      </c>
      <c r="T286" t="s">
        <v>64</v>
      </c>
      <c r="U286" t="s">
        <v>413</v>
      </c>
      <c r="V286">
        <f>WEEKNUM(tblStudyData[[#This Row],[Date]],2)</f>
        <v>34</v>
      </c>
    </row>
    <row r="287" spans="1:22" x14ac:dyDescent="0.3">
      <c r="A287" t="s">
        <v>387</v>
      </c>
      <c r="B287" s="5">
        <v>46257</v>
      </c>
      <c r="C287" t="s">
        <v>73</v>
      </c>
      <c r="D287" t="str">
        <f>_xlfn.XLOOKUP(tblStudyData[[#This Row],[Student_ID]],tblStudents[Student_ID],tblStudents[Student_Name],"")</f>
        <v>Naveen</v>
      </c>
      <c r="E287" t="str">
        <f>_xlfn.XLOOKUP(tblStudyData[[#This Row],[Student_ID]],tblStudents[Student_ID],tblStudents[Gender],"")</f>
        <v>Male</v>
      </c>
      <c r="F287">
        <f>_xlfn.XLOOKUP(tblStudyData[[#This Row],[Student_ID]],tblStudents[Student_ID],tblStudents[Grade],"")</f>
        <v>10</v>
      </c>
      <c r="G287" t="str">
        <f>_xlfn.XLOOKUP(tblStudyData[[#This Row],[Student_ID]],tblStudents[Student_ID],tblStudents[Class],"")</f>
        <v>A</v>
      </c>
      <c r="H287" t="s">
        <v>42</v>
      </c>
      <c r="I287" t="s">
        <v>113</v>
      </c>
      <c r="J287" t="s">
        <v>88</v>
      </c>
      <c r="K287">
        <v>4</v>
      </c>
      <c r="L287">
        <v>3.9</v>
      </c>
      <c r="M287" t="s">
        <v>52</v>
      </c>
      <c r="N287" t="s">
        <v>420</v>
      </c>
      <c r="O287">
        <v>89</v>
      </c>
      <c r="P287" t="s">
        <v>53</v>
      </c>
      <c r="Q287" s="20">
        <f>IF(tblStudyData[[#This Row],[Attendence_Status]]="Present",100%,IF(tblStudyData[[#This Row],[Attendence_Status]]="Late",80%,IF(tblStudyData[[#This Row],[Attendence_Status]]="Absent",0%,"")))</f>
        <v>1</v>
      </c>
      <c r="R287" t="s">
        <v>54</v>
      </c>
      <c r="S287" t="s">
        <v>90</v>
      </c>
      <c r="T287" t="s">
        <v>93</v>
      </c>
      <c r="U287" t="s">
        <v>410</v>
      </c>
      <c r="V287">
        <f>WEEKNUM(tblStudyData[[#This Row],[Date]],2)</f>
        <v>34</v>
      </c>
    </row>
    <row r="288" spans="1:22" x14ac:dyDescent="0.3">
      <c r="A288" t="s">
        <v>388</v>
      </c>
      <c r="B288" s="5">
        <v>46246</v>
      </c>
      <c r="C288" t="s">
        <v>75</v>
      </c>
      <c r="D288" t="str">
        <f>_xlfn.XLOOKUP(tblStudyData[[#This Row],[Student_ID]],tblStudents[Student_ID],tblStudents[Student_Name],"")</f>
        <v>Akhil</v>
      </c>
      <c r="E288" t="str">
        <f>_xlfn.XLOOKUP(tblStudyData[[#This Row],[Student_ID]],tblStudents[Student_ID],tblStudents[Gender],"")</f>
        <v>Male</v>
      </c>
      <c r="F288">
        <f>_xlfn.XLOOKUP(tblStudyData[[#This Row],[Student_ID]],tblStudents[Student_ID],tblStudents[Grade],"")</f>
        <v>9</v>
      </c>
      <c r="G288" t="str">
        <f>_xlfn.XLOOKUP(tblStudyData[[#This Row],[Student_ID]],tblStudents[Student_ID],tblStudents[Class],"")</f>
        <v>A</v>
      </c>
      <c r="H288" t="s">
        <v>42</v>
      </c>
      <c r="I288" t="s">
        <v>113</v>
      </c>
      <c r="J288" t="s">
        <v>49</v>
      </c>
      <c r="K288">
        <v>3</v>
      </c>
      <c r="L288">
        <v>2.4</v>
      </c>
      <c r="M288" t="s">
        <v>52</v>
      </c>
      <c r="N288" t="s">
        <v>420</v>
      </c>
      <c r="O288">
        <v>66</v>
      </c>
      <c r="P288" t="s">
        <v>53</v>
      </c>
      <c r="Q288" s="20">
        <v>0.78</v>
      </c>
      <c r="R288" t="s">
        <v>55</v>
      </c>
      <c r="S288" t="s">
        <v>60</v>
      </c>
      <c r="T288" t="s">
        <v>93</v>
      </c>
      <c r="U288" t="s">
        <v>413</v>
      </c>
      <c r="V288">
        <f>WEEKNUM(tblStudyData[[#This Row],[Date]],2)</f>
        <v>33</v>
      </c>
    </row>
    <row r="289" spans="1:22" x14ac:dyDescent="0.3">
      <c r="A289" t="s">
        <v>389</v>
      </c>
      <c r="B289" s="5">
        <v>46238</v>
      </c>
      <c r="C289" t="s">
        <v>75</v>
      </c>
      <c r="D289" t="str">
        <f>_xlfn.XLOOKUP(tblStudyData[[#This Row],[Student_ID]],tblStudents[Student_ID],tblStudents[Student_Name],"")</f>
        <v>Akhil</v>
      </c>
      <c r="E289" t="str">
        <f>_xlfn.XLOOKUP(tblStudyData[[#This Row],[Student_ID]],tblStudents[Student_ID],tblStudents[Gender],"")</f>
        <v>Male</v>
      </c>
      <c r="F289">
        <f>_xlfn.XLOOKUP(tblStudyData[[#This Row],[Student_ID]],tblStudents[Student_ID],tblStudents[Grade],"")</f>
        <v>9</v>
      </c>
      <c r="G289" t="str">
        <f>_xlfn.XLOOKUP(tblStudyData[[#This Row],[Student_ID]],tblStudents[Student_ID],tblStudents[Class],"")</f>
        <v>A</v>
      </c>
      <c r="H289" t="s">
        <v>42</v>
      </c>
      <c r="I289" t="s">
        <v>113</v>
      </c>
      <c r="J289" t="s">
        <v>50</v>
      </c>
      <c r="K289">
        <v>2</v>
      </c>
      <c r="L289">
        <v>1.3</v>
      </c>
      <c r="M289" t="s">
        <v>52</v>
      </c>
      <c r="N289" t="s">
        <v>420</v>
      </c>
      <c r="O289">
        <v>84</v>
      </c>
      <c r="P289" t="s">
        <v>412</v>
      </c>
      <c r="Q289" s="20">
        <v>0.88</v>
      </c>
      <c r="R289" t="s">
        <v>54</v>
      </c>
      <c r="S289" t="s">
        <v>60</v>
      </c>
      <c r="T289" t="s">
        <v>93</v>
      </c>
      <c r="U289" t="s">
        <v>413</v>
      </c>
      <c r="V289">
        <f>WEEKNUM(tblStudyData[[#This Row],[Date]],2)</f>
        <v>32</v>
      </c>
    </row>
    <row r="290" spans="1:22" x14ac:dyDescent="0.3">
      <c r="A290" t="s">
        <v>390</v>
      </c>
      <c r="B290" s="5">
        <v>46248</v>
      </c>
      <c r="C290" t="s">
        <v>71</v>
      </c>
      <c r="D290" t="str">
        <f>_xlfn.XLOOKUP(tblStudyData[[#This Row],[Student_ID]],tblStudents[Student_ID],tblStudents[Student_Name],"")</f>
        <v>Sai</v>
      </c>
      <c r="E290" t="str">
        <f>_xlfn.XLOOKUP(tblStudyData[[#This Row],[Student_ID]],tblStudents[Student_ID],tblStudents[Gender],"")</f>
        <v>Male</v>
      </c>
      <c r="F290">
        <f>_xlfn.XLOOKUP(tblStudyData[[#This Row],[Student_ID]],tblStudents[Student_ID],tblStudents[Grade],"")</f>
        <v>9</v>
      </c>
      <c r="G290" t="str">
        <f>_xlfn.XLOOKUP(tblStudyData[[#This Row],[Student_ID]],tblStudents[Student_ID],tblStudents[Class],"")</f>
        <v>B</v>
      </c>
      <c r="H290" t="s">
        <v>41</v>
      </c>
      <c r="I290" t="s">
        <v>113</v>
      </c>
      <c r="J290" t="s">
        <v>88</v>
      </c>
      <c r="K290">
        <v>2</v>
      </c>
      <c r="L290">
        <v>1.5</v>
      </c>
      <c r="M290" t="s">
        <v>52</v>
      </c>
      <c r="N290" t="s">
        <v>420</v>
      </c>
      <c r="O290">
        <v>75</v>
      </c>
      <c r="P290" t="s">
        <v>412</v>
      </c>
      <c r="Q290" s="20">
        <v>0.95</v>
      </c>
      <c r="R290" t="s">
        <v>54</v>
      </c>
      <c r="S290" t="s">
        <v>90</v>
      </c>
      <c r="T290" t="s">
        <v>63</v>
      </c>
      <c r="U290" t="s">
        <v>413</v>
      </c>
      <c r="V290">
        <f>WEEKNUM(tblStudyData[[#This Row],[Date]],2)</f>
        <v>33</v>
      </c>
    </row>
    <row r="291" spans="1:22" x14ac:dyDescent="0.3">
      <c r="A291" t="s">
        <v>391</v>
      </c>
      <c r="B291" s="5">
        <v>46251</v>
      </c>
      <c r="C291" t="s">
        <v>70</v>
      </c>
      <c r="D291" t="str">
        <f>_xlfn.XLOOKUP(tblStudyData[[#This Row],[Student_ID]],tblStudents[Student_ID],tblStudents[Student_Name],"")</f>
        <v>Neha</v>
      </c>
      <c r="E291" t="str">
        <f>_xlfn.XLOOKUP(tblStudyData[[#This Row],[Student_ID]],tblStudents[Student_ID],tblStudents[Gender],"")</f>
        <v>Female</v>
      </c>
      <c r="F291">
        <f>_xlfn.XLOOKUP(tblStudyData[[#This Row],[Student_ID]],tblStudents[Student_ID],tblStudents[Grade],"")</f>
        <v>11</v>
      </c>
      <c r="G291" t="str">
        <f>_xlfn.XLOOKUP(tblStudyData[[#This Row],[Student_ID]],tblStudents[Student_ID],tblStudents[Class],"")</f>
        <v>B</v>
      </c>
      <c r="H291" t="s">
        <v>41</v>
      </c>
      <c r="I291" t="s">
        <v>113</v>
      </c>
      <c r="J291" t="s">
        <v>88</v>
      </c>
      <c r="K291">
        <v>3</v>
      </c>
      <c r="L291">
        <v>3</v>
      </c>
      <c r="M291" t="s">
        <v>52</v>
      </c>
      <c r="N291" t="s">
        <v>420</v>
      </c>
      <c r="O291">
        <v>79</v>
      </c>
      <c r="P291" t="s">
        <v>412</v>
      </c>
      <c r="Q291" s="20">
        <v>0.88</v>
      </c>
      <c r="R291" t="s">
        <v>56</v>
      </c>
      <c r="S291" t="s">
        <v>57</v>
      </c>
      <c r="T291" t="s">
        <v>65</v>
      </c>
      <c r="U291" t="s">
        <v>413</v>
      </c>
      <c r="V291">
        <f>WEEKNUM(tblStudyData[[#This Row],[Date]],2)</f>
        <v>34</v>
      </c>
    </row>
    <row r="292" spans="1:22" x14ac:dyDescent="0.3">
      <c r="A292" t="s">
        <v>392</v>
      </c>
      <c r="B292" s="5">
        <v>46252</v>
      </c>
      <c r="C292" t="s">
        <v>72</v>
      </c>
      <c r="D292" t="str">
        <f>_xlfn.XLOOKUP(tblStudyData[[#This Row],[Student_ID]],tblStudents[Student_ID],tblStudents[Student_Name],"")</f>
        <v>Pooja</v>
      </c>
      <c r="E292" t="str">
        <f>_xlfn.XLOOKUP(tblStudyData[[#This Row],[Student_ID]],tblStudents[Student_ID],tblStudents[Gender],"")</f>
        <v>Female</v>
      </c>
      <c r="F292">
        <f>_xlfn.XLOOKUP(tblStudyData[[#This Row],[Student_ID]],tblStudents[Student_ID],tblStudents[Grade],"")</f>
        <v>12</v>
      </c>
      <c r="G292" t="str">
        <f>_xlfn.XLOOKUP(tblStudyData[[#This Row],[Student_ID]],tblStudents[Student_ID],tblStudents[Class],"")</f>
        <v>A</v>
      </c>
      <c r="H292" t="s">
        <v>41</v>
      </c>
      <c r="I292" t="s">
        <v>113</v>
      </c>
      <c r="J292" t="s">
        <v>50</v>
      </c>
      <c r="K292">
        <v>1</v>
      </c>
      <c r="L292">
        <v>0.6</v>
      </c>
      <c r="M292" t="s">
        <v>52</v>
      </c>
      <c r="N292" t="s">
        <v>420</v>
      </c>
      <c r="O292">
        <v>70</v>
      </c>
      <c r="P292" t="s">
        <v>412</v>
      </c>
      <c r="Q292" s="20">
        <v>0.9</v>
      </c>
      <c r="R292" t="s">
        <v>56</v>
      </c>
      <c r="S292" t="s">
        <v>57</v>
      </c>
      <c r="T292" t="s">
        <v>62</v>
      </c>
      <c r="U292" t="s">
        <v>413</v>
      </c>
      <c r="V292">
        <f>WEEKNUM(tblStudyData[[#This Row],[Date]],2)</f>
        <v>34</v>
      </c>
    </row>
    <row r="293" spans="1:22" x14ac:dyDescent="0.3">
      <c r="A293" t="s">
        <v>393</v>
      </c>
      <c r="B293" s="5">
        <v>46262</v>
      </c>
      <c r="C293" t="s">
        <v>71</v>
      </c>
      <c r="D293" t="str">
        <f>_xlfn.XLOOKUP(tblStudyData[[#This Row],[Student_ID]],tblStudents[Student_ID],tblStudents[Student_Name],"")</f>
        <v>Sai</v>
      </c>
      <c r="E293" t="str">
        <f>_xlfn.XLOOKUP(tblStudyData[[#This Row],[Student_ID]],tblStudents[Student_ID],tblStudents[Gender],"")</f>
        <v>Male</v>
      </c>
      <c r="F293">
        <f>_xlfn.XLOOKUP(tblStudyData[[#This Row],[Student_ID]],tblStudents[Student_ID],tblStudents[Grade],"")</f>
        <v>9</v>
      </c>
      <c r="G293" t="str">
        <f>_xlfn.XLOOKUP(tblStudyData[[#This Row],[Student_ID]],tblStudents[Student_ID],tblStudents[Class],"")</f>
        <v>B</v>
      </c>
      <c r="H293" t="s">
        <v>41</v>
      </c>
      <c r="I293" t="s">
        <v>113</v>
      </c>
      <c r="J293" t="s">
        <v>49</v>
      </c>
      <c r="K293">
        <v>2</v>
      </c>
      <c r="L293">
        <v>1.8</v>
      </c>
      <c r="M293" t="s">
        <v>52</v>
      </c>
      <c r="N293" t="s">
        <v>420</v>
      </c>
      <c r="O293">
        <v>77</v>
      </c>
      <c r="P293" t="s">
        <v>409</v>
      </c>
      <c r="Q293" s="20">
        <f>IF(tblStudyData[[#This Row],[Attendence_Status]]="Present",100%,IF(tblStudyData[[#This Row],[Attendence_Status]]="Late",80%,IF(tblStudyData[[#This Row],[Attendence_Status]]="Absent",0%,"")))</f>
        <v>0.8</v>
      </c>
      <c r="R293" t="s">
        <v>54</v>
      </c>
      <c r="S293" t="s">
        <v>59</v>
      </c>
      <c r="T293" t="s">
        <v>62</v>
      </c>
      <c r="U293" t="s">
        <v>411</v>
      </c>
      <c r="V293">
        <f>WEEKNUM(tblStudyData[[#This Row],[Date]],2)</f>
        <v>35</v>
      </c>
    </row>
    <row r="294" spans="1:22" x14ac:dyDescent="0.3">
      <c r="A294" t="s">
        <v>394</v>
      </c>
      <c r="B294" s="5">
        <v>46261</v>
      </c>
      <c r="C294" t="s">
        <v>28</v>
      </c>
      <c r="D294" t="str">
        <f>_xlfn.XLOOKUP(tblStudyData[[#This Row],[Student_ID]],tblStudents[Student_ID],tblStudents[Student_Name],"")</f>
        <v>Arjun</v>
      </c>
      <c r="E294" t="str">
        <f>_xlfn.XLOOKUP(tblStudyData[[#This Row],[Student_ID]],tblStudents[Student_ID],tblStudents[Gender],"")</f>
        <v>Male</v>
      </c>
      <c r="F294">
        <f>_xlfn.XLOOKUP(tblStudyData[[#This Row],[Student_ID]],tblStudents[Student_ID],tblStudents[Grade],"")</f>
        <v>11</v>
      </c>
      <c r="G294" t="str">
        <f>_xlfn.XLOOKUP(tblStudyData[[#This Row],[Student_ID]],tblStudents[Student_ID],tblStudents[Class],"")</f>
        <v>B</v>
      </c>
      <c r="H294" t="s">
        <v>41</v>
      </c>
      <c r="I294" t="s">
        <v>113</v>
      </c>
      <c r="J294" t="s">
        <v>50</v>
      </c>
      <c r="K294">
        <v>1</v>
      </c>
      <c r="L294">
        <v>0.9</v>
      </c>
      <c r="M294" t="s">
        <v>52</v>
      </c>
      <c r="N294" t="s">
        <v>420</v>
      </c>
      <c r="O294">
        <v>85</v>
      </c>
      <c r="P294" t="s">
        <v>53</v>
      </c>
      <c r="Q294" s="20">
        <f>IF(tblStudyData[[#This Row],[Attendence_Status]]="Present",100%,IF(tblStudyData[[#This Row],[Attendence_Status]]="Late",80%,IF(tblStudyData[[#This Row],[Attendence_Status]]="Absent",0%,"")))</f>
        <v>1</v>
      </c>
      <c r="R294" t="s">
        <v>55</v>
      </c>
      <c r="S294" t="s">
        <v>58</v>
      </c>
      <c r="T294" t="s">
        <v>64</v>
      </c>
      <c r="U294" t="s">
        <v>410</v>
      </c>
      <c r="V294">
        <f>WEEKNUM(tblStudyData[[#This Row],[Date]],2)</f>
        <v>35</v>
      </c>
    </row>
    <row r="295" spans="1:22" x14ac:dyDescent="0.3">
      <c r="A295" t="s">
        <v>395</v>
      </c>
      <c r="B295" s="5">
        <v>46250</v>
      </c>
      <c r="C295" t="s">
        <v>28</v>
      </c>
      <c r="D295" t="str">
        <f>_xlfn.XLOOKUP(tblStudyData[[#This Row],[Student_ID]],tblStudents[Student_ID],tblStudents[Student_Name],"")</f>
        <v>Arjun</v>
      </c>
      <c r="E295" t="str">
        <f>_xlfn.XLOOKUP(tblStudyData[[#This Row],[Student_ID]],tblStudents[Student_ID],tblStudents[Gender],"")</f>
        <v>Male</v>
      </c>
      <c r="F295">
        <f>_xlfn.XLOOKUP(tblStudyData[[#This Row],[Student_ID]],tblStudents[Student_ID],tblStudents[Grade],"")</f>
        <v>11</v>
      </c>
      <c r="G295" t="str">
        <f>_xlfn.XLOOKUP(tblStudyData[[#This Row],[Student_ID]],tblStudents[Student_ID],tblStudents[Class],"")</f>
        <v>B</v>
      </c>
      <c r="H295" t="s">
        <v>41</v>
      </c>
      <c r="I295" t="s">
        <v>113</v>
      </c>
      <c r="J295" t="s">
        <v>51</v>
      </c>
      <c r="K295">
        <v>1</v>
      </c>
      <c r="L295">
        <v>0.8</v>
      </c>
      <c r="M295" t="s">
        <v>52</v>
      </c>
      <c r="N295" t="s">
        <v>420</v>
      </c>
      <c r="O295">
        <v>78</v>
      </c>
      <c r="P295" t="s">
        <v>412</v>
      </c>
      <c r="Q295" s="20">
        <v>1</v>
      </c>
      <c r="R295" t="s">
        <v>55</v>
      </c>
      <c r="S295" t="s">
        <v>59</v>
      </c>
      <c r="T295" t="s">
        <v>61</v>
      </c>
      <c r="U295" t="s">
        <v>413</v>
      </c>
      <c r="V295">
        <f>WEEKNUM(tblStudyData[[#This Row],[Date]],2)</f>
        <v>33</v>
      </c>
    </row>
    <row r="296" spans="1:22" x14ac:dyDescent="0.3">
      <c r="A296" t="s">
        <v>396</v>
      </c>
      <c r="B296" s="5">
        <v>46247</v>
      </c>
      <c r="C296" t="s">
        <v>73</v>
      </c>
      <c r="D296" t="str">
        <f>_xlfn.XLOOKUP(tblStudyData[[#This Row],[Student_ID]],tblStudents[Student_ID],tblStudents[Student_Name],"")</f>
        <v>Naveen</v>
      </c>
      <c r="E296" t="str">
        <f>_xlfn.XLOOKUP(tblStudyData[[#This Row],[Student_ID]],tblStudents[Student_ID],tblStudents[Gender],"")</f>
        <v>Male</v>
      </c>
      <c r="F296">
        <f>_xlfn.XLOOKUP(tblStudyData[[#This Row],[Student_ID]],tblStudents[Student_ID],tblStudents[Grade],"")</f>
        <v>10</v>
      </c>
      <c r="G296" t="str">
        <f>_xlfn.XLOOKUP(tblStudyData[[#This Row],[Student_ID]],tblStudents[Student_ID],tblStudents[Class],"")</f>
        <v>A</v>
      </c>
      <c r="H296" t="s">
        <v>41</v>
      </c>
      <c r="I296" t="s">
        <v>113</v>
      </c>
      <c r="J296" t="s">
        <v>51</v>
      </c>
      <c r="K296">
        <v>3</v>
      </c>
      <c r="L296">
        <v>1.9</v>
      </c>
      <c r="M296" t="s">
        <v>52</v>
      </c>
      <c r="N296" t="s">
        <v>420</v>
      </c>
      <c r="O296">
        <v>75</v>
      </c>
      <c r="P296" t="s">
        <v>412</v>
      </c>
      <c r="Q296" s="20">
        <v>0.78</v>
      </c>
      <c r="R296" t="s">
        <v>56</v>
      </c>
      <c r="S296" t="s">
        <v>90</v>
      </c>
      <c r="T296" t="s">
        <v>64</v>
      </c>
      <c r="U296" t="s">
        <v>413</v>
      </c>
      <c r="V296">
        <f>WEEKNUM(tblStudyData[[#This Row],[Date]],2)</f>
        <v>33</v>
      </c>
    </row>
    <row r="297" spans="1:22" x14ac:dyDescent="0.3">
      <c r="A297" t="s">
        <v>397</v>
      </c>
      <c r="B297" s="5">
        <v>46247</v>
      </c>
      <c r="C297" t="s">
        <v>66</v>
      </c>
      <c r="D297" t="str">
        <f>_xlfn.XLOOKUP(tblStudyData[[#This Row],[Student_ID]],tblStudents[Student_ID],tblStudents[Student_Name],"")</f>
        <v>Anjali</v>
      </c>
      <c r="E297" t="str">
        <f>_xlfn.XLOOKUP(tblStudyData[[#This Row],[Student_ID]],tblStudents[Student_ID],tblStudents[Gender],"")</f>
        <v>Female</v>
      </c>
      <c r="F297">
        <f>_xlfn.XLOOKUP(tblStudyData[[#This Row],[Student_ID]],tblStudents[Student_ID],tblStudents[Grade],"")</f>
        <v>11</v>
      </c>
      <c r="G297" t="str">
        <f>_xlfn.XLOOKUP(tblStudyData[[#This Row],[Student_ID]],tblStudents[Student_ID],tblStudents[Class],"")</f>
        <v>A</v>
      </c>
      <c r="H297" t="s">
        <v>41</v>
      </c>
      <c r="I297" t="s">
        <v>113</v>
      </c>
      <c r="J297" t="s">
        <v>51</v>
      </c>
      <c r="K297">
        <v>2</v>
      </c>
      <c r="L297">
        <v>1.6</v>
      </c>
      <c r="M297" t="s">
        <v>52</v>
      </c>
      <c r="N297" t="s">
        <v>420</v>
      </c>
      <c r="O297">
        <v>77</v>
      </c>
      <c r="P297" t="s">
        <v>53</v>
      </c>
      <c r="Q297" s="20">
        <f>IF(tblStudyData[[#This Row],[Attendence_Status]]="Present",100%,IF(tblStudyData[[#This Row],[Attendence_Status]]="Late",80%,IF(tblStudyData[[#This Row],[Attendence_Status]]="Absent",0%,"")))</f>
        <v>1</v>
      </c>
      <c r="R297" t="s">
        <v>56</v>
      </c>
      <c r="S297" t="s">
        <v>59</v>
      </c>
      <c r="T297" t="s">
        <v>62</v>
      </c>
      <c r="U297" t="s">
        <v>411</v>
      </c>
      <c r="V297">
        <f>WEEKNUM(tblStudyData[[#This Row],[Date]],2)</f>
        <v>33</v>
      </c>
    </row>
    <row r="298" spans="1:22" x14ac:dyDescent="0.3">
      <c r="A298" t="s">
        <v>398</v>
      </c>
      <c r="B298" s="5">
        <v>46235</v>
      </c>
      <c r="C298" t="s">
        <v>26</v>
      </c>
      <c r="D298" t="str">
        <f>_xlfn.XLOOKUP(tblStudyData[[#This Row],[Student_ID]],tblStudents[Student_ID],tblStudents[Student_Name],"")</f>
        <v>Rahul</v>
      </c>
      <c r="E298" t="str">
        <f>_xlfn.XLOOKUP(tblStudyData[[#This Row],[Student_ID]],tblStudents[Student_ID],tblStudents[Gender],"")</f>
        <v>Male</v>
      </c>
      <c r="F298">
        <f>_xlfn.XLOOKUP(tblStudyData[[#This Row],[Student_ID]],tblStudents[Student_ID],tblStudents[Grade],"")</f>
        <v>10</v>
      </c>
      <c r="G298" t="str">
        <f>_xlfn.XLOOKUP(tblStudyData[[#This Row],[Student_ID]],tblStudents[Student_ID],tblStudents[Class],"")</f>
        <v>A</v>
      </c>
      <c r="H298" t="s">
        <v>41</v>
      </c>
      <c r="I298" t="s">
        <v>113</v>
      </c>
      <c r="J298" t="s">
        <v>50</v>
      </c>
      <c r="K298">
        <v>2</v>
      </c>
      <c r="L298">
        <v>1.2</v>
      </c>
      <c r="M298" t="s">
        <v>52</v>
      </c>
      <c r="N298" t="s">
        <v>420</v>
      </c>
      <c r="O298">
        <v>73</v>
      </c>
      <c r="P298" t="s">
        <v>412</v>
      </c>
      <c r="Q298" s="20">
        <v>1</v>
      </c>
      <c r="R298" t="s">
        <v>55</v>
      </c>
      <c r="S298" t="s">
        <v>91</v>
      </c>
      <c r="T298" t="s">
        <v>61</v>
      </c>
      <c r="U298" t="s">
        <v>413</v>
      </c>
      <c r="V298">
        <f>WEEKNUM(tblStudyData[[#This Row],[Date]],2)</f>
        <v>31</v>
      </c>
    </row>
    <row r="299" spans="1:22" x14ac:dyDescent="0.3">
      <c r="A299" t="s">
        <v>399</v>
      </c>
      <c r="B299" s="5">
        <v>46258</v>
      </c>
      <c r="C299" t="s">
        <v>72</v>
      </c>
      <c r="D299" t="str">
        <f>_xlfn.XLOOKUP(tblStudyData[[#This Row],[Student_ID]],tblStudents[Student_ID],tblStudents[Student_Name],"")</f>
        <v>Pooja</v>
      </c>
      <c r="E299" t="str">
        <f>_xlfn.XLOOKUP(tblStudyData[[#This Row],[Student_ID]],tblStudents[Student_ID],tblStudents[Gender],"")</f>
        <v>Female</v>
      </c>
      <c r="F299">
        <f>_xlfn.XLOOKUP(tblStudyData[[#This Row],[Student_ID]],tblStudents[Student_ID],tblStudents[Grade],"")</f>
        <v>12</v>
      </c>
      <c r="G299" t="str">
        <f>_xlfn.XLOOKUP(tblStudyData[[#This Row],[Student_ID]],tblStudents[Student_ID],tblStudents[Class],"")</f>
        <v>A</v>
      </c>
      <c r="H299" t="s">
        <v>41</v>
      </c>
      <c r="I299" t="s">
        <v>113</v>
      </c>
      <c r="J299" t="s">
        <v>51</v>
      </c>
      <c r="K299">
        <v>4</v>
      </c>
      <c r="L299">
        <v>3.6</v>
      </c>
      <c r="M299" t="s">
        <v>52</v>
      </c>
      <c r="N299" t="s">
        <v>420</v>
      </c>
      <c r="O299">
        <v>94</v>
      </c>
      <c r="P299" t="s">
        <v>409</v>
      </c>
      <c r="Q299" s="20">
        <f>IF(tblStudyData[[#This Row],[Attendence_Status]]="Present",100%,IF(tblStudyData[[#This Row],[Attendence_Status]]="Late",80%,IF(tblStudyData[[#This Row],[Attendence_Status]]="Absent",0%,"")))</f>
        <v>0.8</v>
      </c>
      <c r="R299" t="s">
        <v>55</v>
      </c>
      <c r="S299" t="s">
        <v>57</v>
      </c>
      <c r="T299" t="s">
        <v>65</v>
      </c>
      <c r="U299" t="s">
        <v>411</v>
      </c>
      <c r="V299">
        <f>WEEKNUM(tblStudyData[[#This Row],[Date]],2)</f>
        <v>35</v>
      </c>
    </row>
    <row r="300" spans="1:22" x14ac:dyDescent="0.3">
      <c r="A300" t="s">
        <v>400</v>
      </c>
      <c r="B300" s="5">
        <v>46257</v>
      </c>
      <c r="C300" t="s">
        <v>66</v>
      </c>
      <c r="D300" t="str">
        <f>_xlfn.XLOOKUP(tblStudyData[[#This Row],[Student_ID]],tblStudents[Student_ID],tblStudents[Student_Name],"")</f>
        <v>Anjali</v>
      </c>
      <c r="E300" t="str">
        <f>_xlfn.XLOOKUP(tblStudyData[[#This Row],[Student_ID]],tblStudents[Student_ID],tblStudents[Gender],"")</f>
        <v>Female</v>
      </c>
      <c r="F300">
        <f>_xlfn.XLOOKUP(tblStudyData[[#This Row],[Student_ID]],tblStudents[Student_ID],tblStudents[Grade],"")</f>
        <v>11</v>
      </c>
      <c r="G300" t="str">
        <f>_xlfn.XLOOKUP(tblStudyData[[#This Row],[Student_ID]],tblStudents[Student_ID],tblStudents[Class],"")</f>
        <v>A</v>
      </c>
      <c r="H300" t="s">
        <v>43</v>
      </c>
      <c r="I300" t="s">
        <v>113</v>
      </c>
      <c r="J300" t="s">
        <v>88</v>
      </c>
      <c r="K300">
        <v>3</v>
      </c>
      <c r="L300">
        <v>3</v>
      </c>
      <c r="M300" t="s">
        <v>52</v>
      </c>
      <c r="N300" t="s">
        <v>420</v>
      </c>
      <c r="O300">
        <v>86</v>
      </c>
      <c r="P300" t="s">
        <v>53</v>
      </c>
      <c r="Q300" s="20">
        <f>IF(tblStudyData[[#This Row],[Attendence_Status]]="Present",100%,IF(tblStudyData[[#This Row],[Attendence_Status]]="Late",80%,IF(tblStudyData[[#This Row],[Attendence_Status]]="Absent",0%,"")))</f>
        <v>1</v>
      </c>
      <c r="R300" t="s">
        <v>54</v>
      </c>
      <c r="S300" t="s">
        <v>90</v>
      </c>
      <c r="T300" t="s">
        <v>64</v>
      </c>
      <c r="U300" t="s">
        <v>410</v>
      </c>
      <c r="V300">
        <f>WEEKNUM(tblStudyData[[#This Row],[Date]],2)</f>
        <v>34</v>
      </c>
    </row>
    <row r="301" spans="1:22" x14ac:dyDescent="0.3">
      <c r="A301" t="s">
        <v>401</v>
      </c>
      <c r="B301" s="5">
        <v>46239</v>
      </c>
      <c r="C301" t="s">
        <v>66</v>
      </c>
      <c r="D301" t="str">
        <f>_xlfn.XLOOKUP(tblStudyData[[#This Row],[Student_ID]],tblStudents[Student_ID],tblStudents[Student_Name],"")</f>
        <v>Anjali</v>
      </c>
      <c r="E301" t="str">
        <f>_xlfn.XLOOKUP(tblStudyData[[#This Row],[Student_ID]],tblStudents[Student_ID],tblStudents[Gender],"")</f>
        <v>Female</v>
      </c>
      <c r="F301">
        <f>_xlfn.XLOOKUP(tblStudyData[[#This Row],[Student_ID]],tblStudents[Student_ID],tblStudents[Grade],"")</f>
        <v>11</v>
      </c>
      <c r="G301" t="str">
        <f>_xlfn.XLOOKUP(tblStudyData[[#This Row],[Student_ID]],tblStudents[Student_ID],tblStudents[Class],"")</f>
        <v>A</v>
      </c>
      <c r="H301" t="s">
        <v>43</v>
      </c>
      <c r="I301" t="s">
        <v>113</v>
      </c>
      <c r="J301" t="s">
        <v>51</v>
      </c>
      <c r="K301">
        <v>1</v>
      </c>
      <c r="L301">
        <v>0.8</v>
      </c>
      <c r="M301" t="s">
        <v>52</v>
      </c>
      <c r="N301" t="s">
        <v>420</v>
      </c>
      <c r="O301">
        <v>76</v>
      </c>
      <c r="P301" t="s">
        <v>409</v>
      </c>
      <c r="Q301" s="20">
        <f>IF(tblStudyData[[#This Row],[Attendence_Status]]="Present",100%,IF(tblStudyData[[#This Row],[Attendence_Status]]="Late",80%,IF(tblStudyData[[#This Row],[Attendence_Status]]="Absent",0%,"")))</f>
        <v>0.8</v>
      </c>
      <c r="R301" t="s">
        <v>54</v>
      </c>
      <c r="S301" t="s">
        <v>59</v>
      </c>
      <c r="T301" t="s">
        <v>93</v>
      </c>
      <c r="U301" t="s">
        <v>411</v>
      </c>
      <c r="V301">
        <f>WEEKNUM(tblStudyData[[#This Row],[Date]],2)</f>
        <v>32</v>
      </c>
    </row>
    <row r="302" spans="1:22" x14ac:dyDescent="0.3">
      <c r="A302" t="s">
        <v>402</v>
      </c>
      <c r="B302" s="5">
        <v>46239</v>
      </c>
      <c r="C302" t="s">
        <v>29</v>
      </c>
      <c r="D302" t="str">
        <f>_xlfn.XLOOKUP(tblStudyData[[#This Row],[Student_ID]],tblStudents[Student_ID],tblStudents[Student_Name],"")</f>
        <v>Sneha</v>
      </c>
      <c r="E302" t="str">
        <f>_xlfn.XLOOKUP(tblStudyData[[#This Row],[Student_ID]],tblStudents[Student_ID],tblStudents[Gender],"")</f>
        <v>Female</v>
      </c>
      <c r="F302">
        <f>_xlfn.XLOOKUP(tblStudyData[[#This Row],[Student_ID]],tblStudents[Student_ID],tblStudents[Grade],"")</f>
        <v>0</v>
      </c>
      <c r="G302" t="str">
        <f>_xlfn.XLOOKUP(tblStudyData[[#This Row],[Student_ID]],tblStudents[Student_ID],tblStudents[Class],"")</f>
        <v>B</v>
      </c>
      <c r="H302" t="s">
        <v>43</v>
      </c>
      <c r="I302" t="s">
        <v>113</v>
      </c>
      <c r="J302" t="s">
        <v>51</v>
      </c>
      <c r="K302">
        <v>3</v>
      </c>
      <c r="L302">
        <v>1.8</v>
      </c>
      <c r="M302" t="s">
        <v>52</v>
      </c>
      <c r="N302" t="s">
        <v>420</v>
      </c>
      <c r="O302">
        <v>59</v>
      </c>
      <c r="P302" t="s">
        <v>53</v>
      </c>
      <c r="Q302" s="20">
        <f>IF(tblStudyData[[#This Row],[Attendence_Status]]="Present",100%,IF(tblStudyData[[#This Row],[Attendence_Status]]="Late",80%,IF(tblStudyData[[#This Row],[Attendence_Status]]="Absent",0%,"")))</f>
        <v>1</v>
      </c>
      <c r="R302" t="s">
        <v>55</v>
      </c>
      <c r="S302" t="s">
        <v>90</v>
      </c>
      <c r="T302" t="s">
        <v>93</v>
      </c>
      <c r="U302" t="s">
        <v>413</v>
      </c>
      <c r="V302">
        <f>WEEKNUM(tblStudyData[[#This Row],[Date]],2)</f>
        <v>32</v>
      </c>
    </row>
    <row r="303" spans="1:22" x14ac:dyDescent="0.3">
      <c r="A303" t="s">
        <v>403</v>
      </c>
      <c r="B303" s="5">
        <v>46236</v>
      </c>
      <c r="C303" t="s">
        <v>27</v>
      </c>
      <c r="D303" t="str">
        <f>_xlfn.XLOOKUP(tblStudyData[[#This Row],[Student_ID]],tblStudents[Student_ID],tblStudents[Student_Name],"")</f>
        <v>Priya</v>
      </c>
      <c r="E303" t="str">
        <f>_xlfn.XLOOKUP(tblStudyData[[#This Row],[Student_ID]],tblStudents[Student_ID],tblStudents[Gender],"")</f>
        <v>Female</v>
      </c>
      <c r="F303">
        <f>_xlfn.XLOOKUP(tblStudyData[[#This Row],[Student_ID]],tblStudents[Student_ID],tblStudents[Grade],"")</f>
        <v>10</v>
      </c>
      <c r="G303" t="str">
        <f>_xlfn.XLOOKUP(tblStudyData[[#This Row],[Student_ID]],tblStudents[Student_ID],tblStudents[Class],"")</f>
        <v>A</v>
      </c>
      <c r="H303" t="s">
        <v>43</v>
      </c>
      <c r="I303" t="s">
        <v>113</v>
      </c>
      <c r="J303" t="s">
        <v>50</v>
      </c>
      <c r="K303">
        <v>4</v>
      </c>
      <c r="L303">
        <v>3.1</v>
      </c>
      <c r="M303" t="s">
        <v>52</v>
      </c>
      <c r="N303" t="s">
        <v>420</v>
      </c>
      <c r="O303">
        <v>77</v>
      </c>
      <c r="P303" t="s">
        <v>53</v>
      </c>
      <c r="Q303" s="20">
        <f>IF(tblStudyData[[#This Row],[Attendence_Status]]="Present",100%,IF(tblStudyData[[#This Row],[Attendence_Status]]="Late",80%,IF(tblStudyData[[#This Row],[Attendence_Status]]="Absent",0%,"")))</f>
        <v>1</v>
      </c>
      <c r="R303" t="s">
        <v>54</v>
      </c>
      <c r="S303" t="s">
        <v>59</v>
      </c>
      <c r="T303" t="s">
        <v>65</v>
      </c>
      <c r="U303" t="s">
        <v>411</v>
      </c>
      <c r="V303">
        <f>WEEKNUM(tblStudyData[[#This Row],[Date]],2)</f>
        <v>31</v>
      </c>
    </row>
    <row r="304" spans="1:22" x14ac:dyDescent="0.3">
      <c r="A304" t="s">
        <v>404</v>
      </c>
      <c r="B304" s="5">
        <v>46258</v>
      </c>
      <c r="C304" t="s">
        <v>73</v>
      </c>
      <c r="D304" t="str">
        <f>_xlfn.XLOOKUP(tblStudyData[[#This Row],[Student_ID]],tblStudents[Student_ID],tblStudents[Student_Name],"")</f>
        <v>Naveen</v>
      </c>
      <c r="E304" t="str">
        <f>_xlfn.XLOOKUP(tblStudyData[[#This Row],[Student_ID]],tblStudents[Student_ID],tblStudents[Gender],"")</f>
        <v>Male</v>
      </c>
      <c r="F304">
        <f>_xlfn.XLOOKUP(tblStudyData[[#This Row],[Student_ID]],tblStudents[Student_ID],tblStudents[Grade],"")</f>
        <v>10</v>
      </c>
      <c r="G304" t="str">
        <f>_xlfn.XLOOKUP(tblStudyData[[#This Row],[Student_ID]],tblStudents[Student_ID],tblStudents[Class],"")</f>
        <v>A</v>
      </c>
      <c r="H304" t="s">
        <v>43</v>
      </c>
      <c r="I304" t="s">
        <v>113</v>
      </c>
      <c r="J304" t="s">
        <v>88</v>
      </c>
      <c r="K304">
        <v>2</v>
      </c>
      <c r="L304">
        <v>1.7</v>
      </c>
      <c r="M304" t="s">
        <v>52</v>
      </c>
      <c r="N304" t="s">
        <v>420</v>
      </c>
      <c r="O304">
        <v>86</v>
      </c>
      <c r="P304" t="s">
        <v>412</v>
      </c>
      <c r="Q304" s="20">
        <v>0.78</v>
      </c>
      <c r="R304" t="s">
        <v>56</v>
      </c>
      <c r="S304" t="s">
        <v>58</v>
      </c>
      <c r="T304" t="s">
        <v>93</v>
      </c>
      <c r="U304" t="s">
        <v>413</v>
      </c>
      <c r="V304">
        <f>WEEKNUM(tblStudyData[[#This Row],[Date]],2)</f>
        <v>35</v>
      </c>
    </row>
    <row r="305" spans="1:22" x14ac:dyDescent="0.3">
      <c r="A305" t="s">
        <v>405</v>
      </c>
      <c r="B305" s="5">
        <v>46248</v>
      </c>
      <c r="C305" t="s">
        <v>26</v>
      </c>
      <c r="D305" t="str">
        <f>_xlfn.XLOOKUP(tblStudyData[[#This Row],[Student_ID]],tblStudents[Student_ID],tblStudents[Student_Name],"")</f>
        <v>Rahul</v>
      </c>
      <c r="E305" t="str">
        <f>_xlfn.XLOOKUP(tblStudyData[[#This Row],[Student_ID]],tblStudents[Student_ID],tblStudents[Gender],"")</f>
        <v>Male</v>
      </c>
      <c r="F305">
        <f>_xlfn.XLOOKUP(tblStudyData[[#This Row],[Student_ID]],tblStudents[Student_ID],tblStudents[Grade],"")</f>
        <v>10</v>
      </c>
      <c r="G305" t="str">
        <f>_xlfn.XLOOKUP(tblStudyData[[#This Row],[Student_ID]],tblStudents[Student_ID],tblStudents[Class],"")</f>
        <v>A</v>
      </c>
      <c r="H305" t="s">
        <v>43</v>
      </c>
      <c r="I305" t="s">
        <v>113</v>
      </c>
      <c r="J305" t="s">
        <v>50</v>
      </c>
      <c r="K305">
        <v>4</v>
      </c>
      <c r="L305">
        <v>3.2</v>
      </c>
      <c r="M305" t="s">
        <v>52</v>
      </c>
      <c r="N305" t="s">
        <v>420</v>
      </c>
      <c r="O305">
        <v>81</v>
      </c>
      <c r="P305" t="s">
        <v>412</v>
      </c>
      <c r="Q305" s="20">
        <v>0.88</v>
      </c>
      <c r="R305" t="s">
        <v>54</v>
      </c>
      <c r="S305" t="s">
        <v>91</v>
      </c>
      <c r="T305" t="s">
        <v>93</v>
      </c>
      <c r="U305" t="s">
        <v>413</v>
      </c>
      <c r="V305">
        <f>WEEKNUM(tblStudyData[[#This Row],[Date]],2)</f>
        <v>33</v>
      </c>
    </row>
    <row r="306" spans="1:22" x14ac:dyDescent="0.3">
      <c r="A306" t="s">
        <v>406</v>
      </c>
      <c r="B306" s="5">
        <v>46250</v>
      </c>
      <c r="C306" t="s">
        <v>66</v>
      </c>
      <c r="D306" t="str">
        <f>_xlfn.XLOOKUP(tblStudyData[[#This Row],[Student_ID]],tblStudents[Student_ID],tblStudents[Student_Name],"")</f>
        <v>Anjali</v>
      </c>
      <c r="E306" t="str">
        <f>_xlfn.XLOOKUP(tblStudyData[[#This Row],[Student_ID]],tblStudents[Student_ID],tblStudents[Gender],"")</f>
        <v>Female</v>
      </c>
      <c r="F306">
        <f>_xlfn.XLOOKUP(tblStudyData[[#This Row],[Student_ID]],tblStudents[Student_ID],tblStudents[Grade],"")</f>
        <v>11</v>
      </c>
      <c r="G306" t="str">
        <f>_xlfn.XLOOKUP(tblStudyData[[#This Row],[Student_ID]],tblStudents[Student_ID],tblStudents[Class],"")</f>
        <v>A</v>
      </c>
      <c r="H306" t="s">
        <v>43</v>
      </c>
      <c r="I306" t="s">
        <v>113</v>
      </c>
      <c r="J306" t="s">
        <v>88</v>
      </c>
      <c r="K306">
        <v>3</v>
      </c>
      <c r="L306">
        <v>2.7</v>
      </c>
      <c r="M306" t="s">
        <v>52</v>
      </c>
      <c r="N306" t="s">
        <v>420</v>
      </c>
      <c r="O306">
        <v>79</v>
      </c>
      <c r="P306" t="s">
        <v>412</v>
      </c>
      <c r="Q306" s="20">
        <v>0.95</v>
      </c>
      <c r="R306" t="s">
        <v>55</v>
      </c>
      <c r="S306" t="s">
        <v>58</v>
      </c>
      <c r="T306" t="s">
        <v>64</v>
      </c>
      <c r="U306" t="s">
        <v>413</v>
      </c>
      <c r="V306">
        <f>WEEKNUM(tblStudyData[[#This Row],[Date]],2)</f>
        <v>33</v>
      </c>
    </row>
    <row r="307" spans="1:22" x14ac:dyDescent="0.3">
      <c r="A307" t="s">
        <v>407</v>
      </c>
      <c r="B307" s="5">
        <v>46261</v>
      </c>
      <c r="C307" t="s">
        <v>74</v>
      </c>
      <c r="D307" t="str">
        <f>_xlfn.XLOOKUP(tblStudyData[[#This Row],[Student_ID]],tblStudents[Student_ID],tblStudents[Student_Name],"")</f>
        <v>Kavya</v>
      </c>
      <c r="E307" t="str">
        <f>_xlfn.XLOOKUP(tblStudyData[[#This Row],[Student_ID]],tblStudents[Student_ID],tblStudents[Gender],"")</f>
        <v>Female</v>
      </c>
      <c r="F307">
        <f>_xlfn.XLOOKUP(tblStudyData[[#This Row],[Student_ID]],tblStudents[Student_ID],tblStudents[Grade],"")</f>
        <v>11</v>
      </c>
      <c r="G307" t="str">
        <f>_xlfn.XLOOKUP(tblStudyData[[#This Row],[Student_ID]],tblStudents[Student_ID],tblStudents[Class],"")</f>
        <v>A</v>
      </c>
      <c r="H307" t="s">
        <v>43</v>
      </c>
      <c r="I307" t="s">
        <v>113</v>
      </c>
      <c r="J307" t="s">
        <v>50</v>
      </c>
      <c r="K307">
        <v>1</v>
      </c>
      <c r="L307">
        <v>0.9</v>
      </c>
      <c r="M307" t="s">
        <v>52</v>
      </c>
      <c r="N307" t="s">
        <v>420</v>
      </c>
      <c r="O307">
        <v>85</v>
      </c>
      <c r="P307" t="s">
        <v>412</v>
      </c>
      <c r="Q307" s="20">
        <v>1</v>
      </c>
      <c r="R307" t="s">
        <v>54</v>
      </c>
      <c r="S307" t="s">
        <v>58</v>
      </c>
      <c r="T307" t="s">
        <v>65</v>
      </c>
      <c r="U307" t="s">
        <v>413</v>
      </c>
      <c r="V307">
        <f>WEEKNUM(tblStudyData[[#This Row],[Date]],2)</f>
        <v>35</v>
      </c>
    </row>
    <row r="308" spans="1:22" x14ac:dyDescent="0.3">
      <c r="A308" t="s">
        <v>408</v>
      </c>
      <c r="B308" s="5">
        <v>46246</v>
      </c>
      <c r="C308" t="s">
        <v>66</v>
      </c>
      <c r="D308" t="str">
        <f>_xlfn.XLOOKUP(tblStudyData[[#This Row],[Student_ID]],tblStudents[Student_ID],tblStudents[Student_Name],"")</f>
        <v>Anjali</v>
      </c>
      <c r="E308" t="str">
        <f>_xlfn.XLOOKUP(tblStudyData[[#This Row],[Student_ID]],tblStudents[Student_ID],tblStudents[Gender],"")</f>
        <v>Female</v>
      </c>
      <c r="F308">
        <f>_xlfn.XLOOKUP(tblStudyData[[#This Row],[Student_ID]],tblStudents[Student_ID],tblStudents[Grade],"")</f>
        <v>11</v>
      </c>
      <c r="G308" t="str">
        <f>_xlfn.XLOOKUP(tblStudyData[[#This Row],[Student_ID]],tblStudents[Student_ID],tblStudents[Class],"")</f>
        <v>A</v>
      </c>
      <c r="H308" t="s">
        <v>43</v>
      </c>
      <c r="I308" t="s">
        <v>113</v>
      </c>
      <c r="J308" t="s">
        <v>51</v>
      </c>
      <c r="K308">
        <v>1</v>
      </c>
      <c r="L308">
        <v>0.8</v>
      </c>
      <c r="M308" t="s">
        <v>52</v>
      </c>
      <c r="N308" t="s">
        <v>420</v>
      </c>
      <c r="O308">
        <v>77</v>
      </c>
      <c r="P308" t="s">
        <v>409</v>
      </c>
      <c r="Q308" s="20">
        <f>IF(tblStudyData[[#This Row],[Attendence_Status]]="Present",100%,IF(tblStudyData[[#This Row],[Attendence_Status]]="Late",80%,IF(tblStudyData[[#This Row],[Attendence_Status]]="Absent",0%,"")))</f>
        <v>0.8</v>
      </c>
      <c r="R308" t="s">
        <v>55</v>
      </c>
      <c r="S308" t="s">
        <v>91</v>
      </c>
      <c r="T308" t="s">
        <v>65</v>
      </c>
      <c r="U308" t="s">
        <v>411</v>
      </c>
      <c r="V308">
        <f>WEEKNUM(tblStudyData[[#This Row],[Date]],2)</f>
        <v>33</v>
      </c>
    </row>
    <row r="343" spans="6:7" x14ac:dyDescent="0.3">
      <c r="F343" t="s">
        <v>86</v>
      </c>
      <c r="G343">
        <f>COUNTIF(H9:H308,F343)</f>
        <v>36</v>
      </c>
    </row>
  </sheetData>
  <dataConsolidate/>
  <mergeCells count="2">
    <mergeCell ref="A1:L2"/>
    <mergeCell ref="A3:L3"/>
  </mergeCells>
  <phoneticPr fontId="2" type="noConversion"/>
  <conditionalFormatting sqref="O9:O308">
    <cfRule type="cellIs" dxfId="44" priority="15" operator="greaterThan">
      <formula>60</formula>
    </cfRule>
    <cfRule type="cellIs" priority="17" operator="greaterThanOrEqual">
      <formula>60</formula>
    </cfRule>
    <cfRule type="cellIs" dxfId="43" priority="18" operator="between">
      <formula>40</formula>
      <formula>59</formula>
    </cfRule>
    <cfRule type="cellIs" dxfId="42" priority="19" operator="lessThan">
      <formula>40</formula>
    </cfRule>
  </conditionalFormatting>
  <conditionalFormatting sqref="Q9:Q308">
    <cfRule type="cellIs" dxfId="41" priority="12" operator="greaterThan">
      <formula>0.9</formula>
    </cfRule>
    <cfRule type="cellIs" dxfId="40" priority="13" operator="between">
      <formula>0.75</formula>
      <formula>0.89</formula>
    </cfRule>
    <cfRule type="cellIs" dxfId="39" priority="14" operator="lessThan">
      <formula>0.75</formula>
    </cfRule>
  </conditionalFormatting>
  <conditionalFormatting sqref="N9:N308">
    <cfRule type="containsText" dxfId="38" priority="10" operator="containsText" text="yes">
      <formula>NOT(ISERROR(SEARCH("yes",N9)))</formula>
    </cfRule>
    <cfRule type="containsText" dxfId="37" priority="11" operator="containsText" text="NO">
      <formula>NOT(ISERROR(SEARCH("NO",N9)))</formula>
    </cfRule>
  </conditionalFormatting>
  <conditionalFormatting sqref="L9:L308">
    <cfRule type="expression" dxfId="36" priority="6">
      <formula>AND(L9&lt;K9,L9&gt;=K9*80%)</formula>
    </cfRule>
    <cfRule type="expression" dxfId="35" priority="7">
      <formula>L9&lt;K9*80%</formula>
    </cfRule>
    <cfRule type="expression" dxfId="34" priority="8">
      <formula>L9&gt;=K9</formula>
    </cfRule>
    <cfRule type="expression" dxfId="33" priority="9">
      <formula>L8&gt;=K8</formula>
    </cfRule>
  </conditionalFormatting>
  <conditionalFormatting sqref="A9:C301 E9:G301 I9:U301">
    <cfRule type="expression" dxfId="32" priority="21" stopIfTrue="1">
      <formula>OR($O9&lt;40,$Q9&lt;75%)</formula>
    </cfRule>
  </conditionalFormatting>
  <conditionalFormatting sqref="A9:C308 E9:G308 I9:V308">
    <cfRule type="expression" dxfId="31" priority="3">
      <formula>"""rahul"""</formula>
    </cfRule>
  </conditionalFormatting>
  <dataValidations count="9">
    <dataValidation type="list" allowBlank="1" showInputMessage="1" showErrorMessage="1" sqref="J9:J308" xr:uid="{62836398-36A8-4A31-85B8-C5BAF72DB94A}">
      <formula1>SessionList</formula1>
    </dataValidation>
    <dataValidation type="list" allowBlank="1" showInputMessage="1" showErrorMessage="1" sqref="R9:R308" xr:uid="{42660D09-CB6D-4312-95F7-D94660B8AA8A}">
      <formula1>Difficulty</formula1>
    </dataValidation>
    <dataValidation type="list" allowBlank="1" showInputMessage="1" showErrorMessage="1" sqref="S9:S308" xr:uid="{CB8614AC-A7BC-4D28-9AE1-5A3B3E2B9C20}">
      <formula1>Study</formula1>
    </dataValidation>
    <dataValidation type="list" allowBlank="1" showInputMessage="1" showErrorMessage="1" sqref="T9:T308" xr:uid="{9D22919A-EBDE-419E-A418-786C15FDF6FE}">
      <formula1>Teachers</formula1>
    </dataValidation>
    <dataValidation type="list" allowBlank="1" showInputMessage="1" showErrorMessage="1" sqref="M9:M308" xr:uid="{F91532F1-B7C4-4A87-A166-82072781E5BC}">
      <formula1>"Yes,No"</formula1>
    </dataValidation>
    <dataValidation type="list" allowBlank="1" showInputMessage="1" showErrorMessage="1" error="PLEASE" sqref="N9:N308" xr:uid="{E9911B82-DAF5-4F05-A24A-ABF09A7B02D9}">
      <formula1>IF(M9="NO",$Z$2,$Z$1:$Z$2)</formula1>
    </dataValidation>
    <dataValidation type="whole" allowBlank="1" showInputMessage="1" showErrorMessage="1" sqref="O9:O308" xr:uid="{F936B475-34DB-48DB-B9CF-FF48E7B1C60A}">
      <formula1>0</formula1>
      <formula2>100</formula2>
    </dataValidation>
    <dataValidation type="list" allowBlank="1" showInputMessage="1" showErrorMessage="1" sqref="P9:P308" xr:uid="{FF8B5D7F-3A92-4CD1-BB05-C6DFEEFBD869}">
      <formula1>"Present,Late,Absent"</formula1>
    </dataValidation>
    <dataValidation type="list" allowBlank="1" showInputMessage="1" showErrorMessage="1" sqref="I9:I308" xr:uid="{21BD04CB-CCFC-4AE5-B2B1-319E8440C7F6}">
      <formula1>INDIRECT(SUBSTITUTE($H9," ","_"))</formula1>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33AD6E80-8C3A-4CA8-834C-34A6FEC1B43A}">
          <x14:formula1>
            <xm:f>'02_Master_Data'!$A$5:$A$20</xm:f>
          </x14:formula1>
          <xm:sqref>C9:C308</xm:sqref>
        </x14:dataValidation>
        <x14:dataValidation type="list" allowBlank="1" showInputMessage="1" showErrorMessage="1" xr:uid="{94746F5F-527F-438C-BE6B-0B9358802174}">
          <x14:formula1>
            <xm:f>'02_Master_Data'!$G$6:$G$11</xm:f>
          </x14:formula1>
          <xm:sqref>H9:H308 F343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79459-C761-4C11-BE14-5C75D6569535}">
  <sheetPr codeName="Sheet5">
    <tabColor rgb="FF00DBFF"/>
  </sheetPr>
  <dimension ref="A1:BS90"/>
  <sheetViews>
    <sheetView topLeftCell="F51" zoomScale="95" zoomScaleNormal="95" workbookViewId="0">
      <selection activeCell="J72" sqref="J72"/>
    </sheetView>
  </sheetViews>
  <sheetFormatPr defaultRowHeight="14.4" x14ac:dyDescent="0.3"/>
  <cols>
    <col min="1" max="1" width="15.88671875" bestFit="1" customWidth="1"/>
    <col min="2" max="2" width="12.6640625" bestFit="1" customWidth="1"/>
    <col min="3" max="3" width="9.33203125" bestFit="1" customWidth="1"/>
    <col min="4" max="4" width="11.6640625" bestFit="1" customWidth="1"/>
    <col min="5" max="5" width="13.44140625" bestFit="1" customWidth="1"/>
    <col min="6" max="6" width="16.5546875" bestFit="1" customWidth="1"/>
    <col min="7" max="7" width="13.21875" bestFit="1" customWidth="1"/>
    <col min="8" max="8" width="11.6640625" bestFit="1" customWidth="1"/>
    <col min="17" max="17" width="15.88671875" bestFit="1" customWidth="1"/>
    <col min="20" max="20" width="20.6640625" bestFit="1" customWidth="1"/>
    <col min="23" max="23" width="22.6640625" bestFit="1" customWidth="1"/>
    <col min="29" max="29" width="23.77734375" bestFit="1" customWidth="1"/>
    <col min="33" max="33" width="15.88671875" bestFit="1" customWidth="1"/>
  </cols>
  <sheetData>
    <row r="1" spans="1:36" ht="15.6" x14ac:dyDescent="0.3">
      <c r="A1" s="100" t="s">
        <v>507</v>
      </c>
      <c r="B1" s="100"/>
      <c r="C1" s="100"/>
      <c r="D1" s="100"/>
      <c r="G1" s="100" t="s">
        <v>547</v>
      </c>
      <c r="H1" s="100"/>
      <c r="Q1" t="s">
        <v>492</v>
      </c>
      <c r="R1" t="s">
        <v>497</v>
      </c>
    </row>
    <row r="2" spans="1:36" x14ac:dyDescent="0.3">
      <c r="A2" s="33" t="s">
        <v>7</v>
      </c>
      <c r="B2" s="33" t="s">
        <v>516</v>
      </c>
      <c r="C2" s="33" t="s">
        <v>497</v>
      </c>
      <c r="D2" s="33" t="s">
        <v>550</v>
      </c>
      <c r="E2" s="50"/>
      <c r="F2" s="50"/>
      <c r="G2" s="33" t="s">
        <v>442</v>
      </c>
      <c r="H2" s="33" t="s">
        <v>517</v>
      </c>
      <c r="K2" s="37"/>
      <c r="Q2" t="str">
        <f>'06_Dashboard'!M4</f>
        <v>Kavya</v>
      </c>
      <c r="T2" t="s">
        <v>555</v>
      </c>
      <c r="U2" t="s">
        <v>458</v>
      </c>
      <c r="W2" t="s">
        <v>558</v>
      </c>
      <c r="X2" t="s">
        <v>458</v>
      </c>
      <c r="AA2" cm="1">
        <f t="array" ref="AA2:AA6">_xlfn._xlws.SORT(_xlfn.UNIQUE(tblStudyData[Week_No]))</f>
        <v>31</v>
      </c>
      <c r="AC2" t="s">
        <v>561</v>
      </c>
      <c r="AD2" t="s">
        <v>458</v>
      </c>
      <c r="AG2" t="s">
        <v>7</v>
      </c>
      <c r="AH2" t="s">
        <v>497</v>
      </c>
      <c r="AJ2" t="str">
        <f>" Student - "&amp;'06_Dashboard'!$M$4&amp;"- Subject Performance"</f>
        <v xml:space="preserve"> Student - Kavya- Subject Performance</v>
      </c>
    </row>
    <row r="3" spans="1:36" x14ac:dyDescent="0.3">
      <c r="A3" s="1" t="str" cm="1">
        <f t="array" ref="A3:A8">tblSubjects[Subjects]</f>
        <v>Mathematics</v>
      </c>
      <c r="B3" s="1">
        <f>SUMIFS(tblStudyData[Actual_Study_Hours],tblStudyData[Student_Name],'06_Dashboard'!$M$4,tblStudyData[Subject],A3)</f>
        <v>6.4</v>
      </c>
      <c r="C3" s="30">
        <f>AVERAGEIFS(tblStudyData[Test_Score],tblStudyData[Student_Name],'06_Dashboard'!$M$4,tblStudyData[Subject],A3)</f>
        <v>87.5</v>
      </c>
      <c r="D3" s="31">
        <f>AVERAGEIFS(tblStudyData[Attendance_Percentage],tblStudyData[Student_Name],'06_Dashboard'!$M$4,tblStudyData[Subject],A3)</f>
        <v>0.92500000000000004</v>
      </c>
      <c r="G3" s="1" cm="1">
        <f t="array" ref="G3:G7">_xlfn._xlws.SORT(_xlfn.UNIQUE(_xlfn._xlws.FILTER(tblStudyData[Week_No],tblStudyData[Student_Name]='06_Dashboard'!$M$4)))</f>
        <v>31</v>
      </c>
      <c r="H3" s="32">
        <f>SUMIFS(tblStudyData[Actual_Study_Hours],tblStudyData[Student_Name],'06_Dashboard'!$M$4,tblStudyData[Week_No],G3)</f>
        <v>3</v>
      </c>
      <c r="Q3" t="str" cm="1">
        <f t="array" ref="Q3:Q8">tblSubjects[Subjects]</f>
        <v>Mathematics</v>
      </c>
      <c r="R3" s="48">
        <f>AVERAGEIFS(tblStudyData[Test_Score],tblStudyData[Student_Name],$Q$2,tblStudyData[Subject],Q3)</f>
        <v>87.5</v>
      </c>
      <c r="T3" t="s">
        <v>496</v>
      </c>
      <c r="U3">
        <f>SUMIF(tblStudyData[Student_Name],$Q$2,tblStudyData[Actual_Study_Hours])</f>
        <v>34.6</v>
      </c>
      <c r="W3" t="s">
        <v>559</v>
      </c>
      <c r="X3">
        <f>SUMIFS(tblStudyData[Actual_Study_Hours],tblStudyData[Student_Name],'06_Dashboard'!$M$4,tblStudyData[Subject],'06_Dashboard'!$M$5)</f>
        <v>9.5</v>
      </c>
      <c r="AA3">
        <v>32</v>
      </c>
      <c r="AC3" t="s">
        <v>496</v>
      </c>
      <c r="AD3">
        <f>SUMIFS(tblStudyData[Actual_Study_Hours],tblStudyData[Student_Name],'06_Dashboard'!$M$4,tblStudyData[Subject],'06_Dashboard'!$M$5,tblStudyData[Week_No],'06_Dashboard'!$M$6)</f>
        <v>3</v>
      </c>
      <c r="AG3" t="str" cm="1">
        <f t="array" ref="AG3:AG8">tblSubjects[Subjects]</f>
        <v>Mathematics</v>
      </c>
      <c r="AH3" s="48">
        <f>AVERAGEIFS(tblStudyData[Test_Score],tblStudyData[Student_Name],'06_Dashboard'!$M$4,tblStudyData[Subject],AG3)</f>
        <v>87.5</v>
      </c>
    </row>
    <row r="4" spans="1:36" x14ac:dyDescent="0.3">
      <c r="A4" s="1" t="str">
        <v>Physics</v>
      </c>
      <c r="B4" s="1">
        <f>SUMIFS(tblStudyData[Actual_Study_Hours],tblStudyData[Student_Name],'06_Dashboard'!$M$4,tblStudyData[Subject],A4)</f>
        <v>4</v>
      </c>
      <c r="C4" s="30">
        <f>AVERAGEIFS(tblStudyData[Test_Score],tblStudyData[Student_Name],'06_Dashboard'!$M$4,tblStudyData[Subject],A4)</f>
        <v>76.5</v>
      </c>
      <c r="D4" s="31">
        <f>AVERAGEIFS(tblStudyData[Attendance_Percentage],tblStudyData[Student_Name],'06_Dashboard'!$M$4,tblStudyData[Subject],A4)</f>
        <v>0.89</v>
      </c>
      <c r="G4" s="1">
        <v>32</v>
      </c>
      <c r="H4" s="32">
        <f>SUMIFS(tblStudyData[Actual_Study_Hours],tblStudyData[Student_Name],'06_Dashboard'!$M$4,tblStudyData[Week_No],G4)</f>
        <v>5.6</v>
      </c>
      <c r="Q4" t="str">
        <v>Physics</v>
      </c>
      <c r="R4" s="48">
        <f>AVERAGEIFS(tblStudyData[Test_Score],tblStudyData[Student_Name],$Q$2,tblStudyData[Subject],Q4)</f>
        <v>76.5</v>
      </c>
      <c r="T4" t="s">
        <v>443</v>
      </c>
      <c r="U4" s="48">
        <f>AVERAGEIF(tblStudyData[Student_Name],$Q$2,tblStudyData[Test_Score])</f>
        <v>80.411764705882348</v>
      </c>
      <c r="W4" t="s">
        <v>443</v>
      </c>
      <c r="X4">
        <f>AVERAGEIFS(tblStudyData[Test_Score],tblStudyData[Student_Name],'06_Dashboard'!$M$4,tblStudyData[Subject],'06_Dashboard'!$M$5)</f>
        <v>76</v>
      </c>
      <c r="AA4">
        <v>33</v>
      </c>
      <c r="AC4" t="s">
        <v>443</v>
      </c>
      <c r="AD4">
        <f>IFERROR(AVERAGEIFS(tblStudyData[Test_Score],tblStudyData[Student_Name],'06_Dashboard'!$M$4,tblStudyData[Subject],'06_Dashboard'!$M$5,tblStudyData[Week_No],'06_Dashboard'!$M$6),0)</f>
        <v>69</v>
      </c>
      <c r="AG4" t="str">
        <v>Physics</v>
      </c>
      <c r="AH4" s="48">
        <f>AVERAGEIFS(tblStudyData[Test_Score],tblStudyData[Student_Name],'06_Dashboard'!$M$4,tblStudyData[Subject],AG4)</f>
        <v>76.5</v>
      </c>
    </row>
    <row r="5" spans="1:36" x14ac:dyDescent="0.3">
      <c r="A5" s="1" t="str">
        <v>Chemistry</v>
      </c>
      <c r="B5" s="1">
        <f>SUMIFS(tblStudyData[Actual_Study_Hours],tblStudyData[Student_Name],'06_Dashboard'!$M$4,tblStudyData[Subject],A5)</f>
        <v>5.4</v>
      </c>
      <c r="C5" s="30">
        <f>AVERAGEIFS(tblStudyData[Test_Score],tblStudyData[Student_Name],'06_Dashboard'!$M$4,tblStudyData[Subject],A5)</f>
        <v>79</v>
      </c>
      <c r="D5" s="31">
        <f>AVERAGEIFS(tblStudyData[Attendance_Percentage],tblStudyData[Student_Name],'06_Dashboard'!$M$4,tblStudyData[Subject],A5)</f>
        <v>0.92666666666666675</v>
      </c>
      <c r="G5" s="1">
        <v>33</v>
      </c>
      <c r="H5" s="32">
        <f>SUMIFS(tblStudyData[Actual_Study_Hours],tblStudyData[Student_Name],'06_Dashboard'!$M$4,tblStudyData[Week_No],G5)</f>
        <v>3.2</v>
      </c>
      <c r="Q5" t="str">
        <v>Chemistry</v>
      </c>
      <c r="R5" s="48">
        <f>AVERAGEIFS(tblStudyData[Test_Score],tblStudyData[Student_Name],$Q$2,tblStudyData[Subject],Q5)</f>
        <v>79</v>
      </c>
      <c r="T5" t="s">
        <v>452</v>
      </c>
      <c r="U5" s="20">
        <f>AVERAGEIF(tblStudyData[Student_Name],$Q$2,tblStudyData[Attendance_Percentage])</f>
        <v>0.91705882352941182</v>
      </c>
      <c r="W5" t="s">
        <v>452</v>
      </c>
      <c r="X5" s="20">
        <f>AVERAGEIFS(tblStudyData[Attendance_Percentage],tblStudyData[Student_Name],'06_Dashboard'!$M$4,tblStudyData[Subject],'06_Dashboard'!$M$5)</f>
        <v>0.8666666666666667</v>
      </c>
      <c r="AA5">
        <v>34</v>
      </c>
      <c r="AC5" t="s">
        <v>452</v>
      </c>
      <c r="AD5">
        <f>IFERROR(AVERAGEIFS(tblStudyData[Test_Score],tblStudyData[Student_Name],'06_Dashboard'!$M$4,tblStudyData[Subject],'06_Dashboard'!$M$5,tblStudyData[Week_No],'06_Dashboard'!$M$6),0)</f>
        <v>69</v>
      </c>
      <c r="AG5" t="str">
        <v>Chemistry</v>
      </c>
      <c r="AH5" s="48">
        <f>AVERAGEIFS(tblStudyData[Test_Score],tblStudyData[Student_Name],'06_Dashboard'!$M$4,tblStudyData[Subject],AG5)</f>
        <v>79</v>
      </c>
    </row>
    <row r="6" spans="1:36" x14ac:dyDescent="0.3">
      <c r="A6" s="1" t="str">
        <v>English</v>
      </c>
      <c r="B6" s="1">
        <f>SUMIFS(tblStudyData[Actual_Study_Hours],tblStudyData[Student_Name],'06_Dashboard'!$M$4,tblStudyData[Subject],A6)</f>
        <v>7.2</v>
      </c>
      <c r="C6" s="30">
        <f>AVERAGEIFS(tblStudyData[Test_Score],tblStudyData[Student_Name],'06_Dashboard'!$M$4,tblStudyData[Subject],A6)</f>
        <v>79.5</v>
      </c>
      <c r="D6" s="31">
        <f>AVERAGEIFS(tblStudyData[Attendance_Percentage],tblStudyData[Student_Name],'06_Dashboard'!$M$4,tblStudyData[Subject],A6)</f>
        <v>0.97</v>
      </c>
      <c r="G6" s="1">
        <v>34</v>
      </c>
      <c r="H6" s="32">
        <f>SUMIFS(tblStudyData[Actual_Study_Hours],tblStudyData[Student_Name],'06_Dashboard'!$M$4,tblStudyData[Week_No],G6)</f>
        <v>10.199999999999999</v>
      </c>
      <c r="Q6" t="str">
        <v>English</v>
      </c>
      <c r="R6" s="48">
        <f>AVERAGEIFS(tblStudyData[Test_Score],tblStudyData[Student_Name],$Q$2,tblStudyData[Subject],Q6)</f>
        <v>79.5</v>
      </c>
      <c r="T6" t="s">
        <v>444</v>
      </c>
      <c r="U6" s="20">
        <f>COUNTIFS(tblStudyData[Student_Name],$Q$2,tblStudyData[Assignment_Given],"Yes",tblStudyData[Assignment_Completed],"Yes")/COUNTIFS(tblStudyData[Student_Name],$Q$2,tblStudyData[Assignment_Given],"Yes")</f>
        <v>1</v>
      </c>
      <c r="W6" t="s">
        <v>560</v>
      </c>
      <c r="X6" s="20">
        <f>COUNTIFS(tblStudyData[Student_Name],'06_Dashboard'!$M$4,tblStudyData[Subject],'06_Dashboard'!$M$5,tblStudyData[Assignment_Given],"Yes",tblStudyData[Assignment_Completed],"Yes")/COUNTIFS(tblStudyData[Student_Name],'06_Dashboard'!$M$4,tblStudyData[Subject],'06_Dashboard'!$M$5,tblStudyData[Assignment_Given],"Yes")</f>
        <v>1</v>
      </c>
      <c r="AA6">
        <v>35</v>
      </c>
      <c r="AC6" t="s">
        <v>562</v>
      </c>
      <c r="AD6">
        <f>IFERROR(AVERAGEIFS(tblStudyData[Test_Score],tblStudyData[Student_Name],'06_Dashboard'!$M$4,tblStudyData[Subject],'06_Dashboard'!$M$5,tblStudyData[Week_No],'06_Dashboard'!$M$6),0)</f>
        <v>69</v>
      </c>
      <c r="AG6" t="str">
        <v>English</v>
      </c>
      <c r="AH6" s="48">
        <f>AVERAGEIFS(tblStudyData[Test_Score],tblStudyData[Student_Name],'06_Dashboard'!$M$4,tblStudyData[Subject],AG6)</f>
        <v>79.5</v>
      </c>
    </row>
    <row r="7" spans="1:36" x14ac:dyDescent="0.3">
      <c r="A7" s="1" t="str">
        <v>Computer Science</v>
      </c>
      <c r="B7" s="1">
        <f>SUMIFS(tblStudyData[Actual_Study_Hours],tblStudyData[Student_Name],'06_Dashboard'!$M$4,tblStudyData[Subject],A7)</f>
        <v>2.1</v>
      </c>
      <c r="C7" s="30">
        <f>AVERAGEIFS(tblStudyData[Test_Score],tblStudyData[Student_Name],'06_Dashboard'!$M$4,tblStudyData[Subject],A7)</f>
        <v>81</v>
      </c>
      <c r="D7" s="31">
        <f>AVERAGEIFS(tblStudyData[Attendance_Percentage],tblStudyData[Student_Name],'06_Dashboard'!$M$4,tblStudyData[Subject],A7)</f>
        <v>0.85</v>
      </c>
      <c r="G7" s="1">
        <v>35</v>
      </c>
      <c r="H7" s="32">
        <f>SUMIFS(tblStudyData[Actual_Study_Hours],tblStudyData[Student_Name],'06_Dashboard'!$M$4,tblStudyData[Week_No],G7)</f>
        <v>12.600000000000001</v>
      </c>
      <c r="Q7" t="str">
        <v>Computer Science</v>
      </c>
      <c r="R7" s="48">
        <f>AVERAGEIFS(tblStudyData[Test_Score],tblStudyData[Student_Name],$Q$2,tblStudyData[Subject],Q7)</f>
        <v>81</v>
      </c>
      <c r="AG7" t="str">
        <v>Computer Science</v>
      </c>
      <c r="AH7" s="48">
        <f>AVERAGEIFS(tblStudyData[Test_Score],tblStudyData[Student_Name],'06_Dashboard'!$M$4,tblStudyData[Subject],AG7)</f>
        <v>81</v>
      </c>
    </row>
    <row r="8" spans="1:36" x14ac:dyDescent="0.3">
      <c r="A8" s="1" t="str">
        <v>Biology</v>
      </c>
      <c r="B8" s="1">
        <f>SUMIFS(tblStudyData[Actual_Study_Hours],tblStudyData[Student_Name],'06_Dashboard'!$M$4,tblStudyData[Subject],A8)</f>
        <v>9.5</v>
      </c>
      <c r="C8" s="30">
        <f>AVERAGEIFS(tblStudyData[Test_Score],tblStudyData[Student_Name],'06_Dashboard'!$M$4,tblStudyData[Subject],A8)</f>
        <v>76</v>
      </c>
      <c r="D8" s="31">
        <f>AVERAGEIFS(tblStudyData[Attendance_Percentage],tblStudyData[Student_Name],'06_Dashboard'!$M$4,tblStudyData[Subject],A8)</f>
        <v>0.8666666666666667</v>
      </c>
      <c r="Q8" t="str">
        <v>Biology</v>
      </c>
      <c r="R8" s="48">
        <f>AVERAGEIFS(tblStudyData[Test_Score],tblStudyData[Student_Name],$Q$2,tblStudyData[Subject],Q8)</f>
        <v>76</v>
      </c>
      <c r="AG8" t="str">
        <v>Biology</v>
      </c>
      <c r="AH8" s="48">
        <f>AVERAGEIFS(tblStudyData[Test_Score],tblStudyData[Student_Name],'06_Dashboard'!$M$4,tblStudyData[Subject],AG8)</f>
        <v>76</v>
      </c>
    </row>
    <row r="11" spans="1:36" ht="15.6" x14ac:dyDescent="0.3">
      <c r="A11" s="102" t="s">
        <v>549</v>
      </c>
      <c r="B11" s="102"/>
      <c r="C11" s="102"/>
      <c r="D11" s="102"/>
      <c r="F11" s="100" t="s">
        <v>548</v>
      </c>
      <c r="G11" s="100"/>
      <c r="H11" s="100"/>
    </row>
    <row r="12" spans="1:36" x14ac:dyDescent="0.3">
      <c r="A12" s="33" t="s">
        <v>7</v>
      </c>
      <c r="B12" s="104" t="s">
        <v>452</v>
      </c>
      <c r="C12" s="104"/>
      <c r="F12" s="35" t="s">
        <v>518</v>
      </c>
      <c r="G12" s="35" t="s">
        <v>448</v>
      </c>
      <c r="H12" s="35" t="s">
        <v>522</v>
      </c>
    </row>
    <row r="13" spans="1:36" x14ac:dyDescent="0.3">
      <c r="A13" s="1" t="str" cm="1">
        <f t="array" ref="A13:A18">tblSubjects[Subjects]</f>
        <v>Mathematics</v>
      </c>
      <c r="B13" s="103">
        <f>AVERAGEIFS(tblStudyData[Attendance_Percentage],tblStudyData[Student_Name],'06_Dashboard'!$M$4,tblStudyData[Subject],A13)</f>
        <v>0.92500000000000004</v>
      </c>
      <c r="C13" s="103"/>
      <c r="F13" s="1" t="s">
        <v>519</v>
      </c>
      <c r="G13" s="1">
        <f>COUNTIFS(tblStudyData[Student_Name],'06_Dashboard'!$M$4,tblStudyData[Assignment_Given],"Yes")</f>
        <v>16</v>
      </c>
      <c r="H13" s="36">
        <f>G13/G13</f>
        <v>1</v>
      </c>
    </row>
    <row r="14" spans="1:36" x14ac:dyDescent="0.3">
      <c r="A14" s="1" t="str">
        <v>Physics</v>
      </c>
      <c r="B14" s="103">
        <f>AVERAGEIFS(tblStudyData[Attendance_Percentage],tblStudyData[Student_Name],'06_Dashboard'!$M$4,tblStudyData[Subject],A14)</f>
        <v>0.89</v>
      </c>
      <c r="C14" s="103"/>
      <c r="F14" s="1" t="s">
        <v>520</v>
      </c>
      <c r="G14" s="1">
        <f>COUNTIFS(tblStudyData[Student_Name],'06_Dashboard'!$M$4,tblStudyData[Assignment_Given],"Yes")</f>
        <v>16</v>
      </c>
      <c r="H14" s="36">
        <f>G14/G13</f>
        <v>1</v>
      </c>
    </row>
    <row r="15" spans="1:36" x14ac:dyDescent="0.3">
      <c r="A15" s="1" t="str">
        <v>Chemistry</v>
      </c>
      <c r="B15" s="103">
        <f>AVERAGEIFS(tblStudyData[Attendance_Percentage],tblStudyData[Student_Name],'06_Dashboard'!$M$4,tblStudyData[Subject],A15)</f>
        <v>0.92666666666666675</v>
      </c>
      <c r="C15" s="103"/>
      <c r="F15" s="1" t="s">
        <v>521</v>
      </c>
      <c r="G15" s="1">
        <f>COUNTIFS(tblStudyData[Student_Name],'06_Dashboard'!$M$4,tblStudyData[Assignment_Given],"Yes")</f>
        <v>16</v>
      </c>
      <c r="H15" s="36">
        <f>G15/G13</f>
        <v>1</v>
      </c>
    </row>
    <row r="16" spans="1:36" x14ac:dyDescent="0.3">
      <c r="A16" s="1" t="str">
        <v>English</v>
      </c>
      <c r="B16" s="103">
        <f>AVERAGEIFS(tblStudyData[Attendance_Percentage],tblStudyData[Student_Name],'06_Dashboard'!$M$4,tblStudyData[Subject],A16)</f>
        <v>0.97</v>
      </c>
      <c r="C16" s="103"/>
      <c r="N16" s="39"/>
    </row>
    <row r="17" spans="1:71" x14ac:dyDescent="0.3">
      <c r="A17" s="1" t="str">
        <v>Computer Science</v>
      </c>
      <c r="B17" s="103">
        <f>AVERAGEIFS(tblStudyData[Attendance_Percentage],tblStudyData[Student_Name],'06_Dashboard'!$M$4,tblStudyData[Subject],A17)</f>
        <v>0.85</v>
      </c>
      <c r="C17" s="103"/>
    </row>
    <row r="18" spans="1:71" x14ac:dyDescent="0.3">
      <c r="A18" s="1" t="str">
        <v>Biology</v>
      </c>
      <c r="B18" s="103">
        <f>AVERAGEIFS(tblStudyData[Attendance_Percentage],tblStudyData[Student_Name],'06_Dashboard'!$M$4,tblStudyData[Subject],A18)</f>
        <v>0.8666666666666667</v>
      </c>
      <c r="C18" s="103"/>
      <c r="BR18" t="s">
        <v>563</v>
      </c>
      <c r="BS18" t="s">
        <v>564</v>
      </c>
    </row>
    <row r="19" spans="1:71" x14ac:dyDescent="0.3">
      <c r="BP19">
        <v>120</v>
      </c>
      <c r="BR19">
        <v>5</v>
      </c>
      <c r="BS19">
        <v>50</v>
      </c>
    </row>
    <row r="20" spans="1:71" x14ac:dyDescent="0.3">
      <c r="N20" s="39"/>
      <c r="BP20">
        <v>420</v>
      </c>
      <c r="BR20">
        <v>6</v>
      </c>
      <c r="BS20">
        <v>1</v>
      </c>
    </row>
    <row r="21" spans="1:71" ht="15.6" x14ac:dyDescent="0.3">
      <c r="A21" s="100" t="s">
        <v>483</v>
      </c>
      <c r="B21" s="100"/>
      <c r="C21" s="100"/>
      <c r="F21" s="100" t="s">
        <v>485</v>
      </c>
      <c r="G21" s="100"/>
      <c r="H21" s="100"/>
      <c r="BR21">
        <v>8</v>
      </c>
      <c r="BS21">
        <v>45</v>
      </c>
    </row>
    <row r="22" spans="1:71" x14ac:dyDescent="0.3">
      <c r="A22" s="35" t="s">
        <v>523</v>
      </c>
      <c r="B22" s="35" t="s">
        <v>516</v>
      </c>
      <c r="C22" s="35" t="s">
        <v>497</v>
      </c>
      <c r="F22" s="35" t="s">
        <v>524</v>
      </c>
      <c r="G22" s="35" t="s">
        <v>496</v>
      </c>
      <c r="H22" s="35" t="s">
        <v>497</v>
      </c>
    </row>
    <row r="23" spans="1:71" x14ac:dyDescent="0.3">
      <c r="A23" s="1" t="str" cm="1">
        <f t="array" ref="A23:A26">tblSessions[Study_Sessions]</f>
        <v>Morning</v>
      </c>
      <c r="B23" s="32">
        <f>SUMIFS(tblStudyData[Actual_Study_Hours],tblStudyData[Student_Name],'06_Dashboard'!$M$4,tblStudyData[Study_Session],A23)</f>
        <v>7.5</v>
      </c>
      <c r="C23" s="30">
        <f>AVERAGEIFS(tblStudyData[Test_Score],tblStudyData[Student_Name],'06_Dashboard'!$M$4,tblStudyData[Study_Session],A23)</f>
        <v>79.75</v>
      </c>
      <c r="F23" s="1" t="str" cm="1">
        <f t="array" ref="F23:F28">tblStudymethods[Study_Methods]</f>
        <v>Self Study</v>
      </c>
      <c r="G23" s="1">
        <f>SUMIFS(tblStudyData[Actual_Study_Hours],tblStudyData[Student_Name],'06_Dashboard'!$M$4,tblStudyData[Study_Method],F23)</f>
        <v>4.0999999999999996</v>
      </c>
      <c r="H23" s="30">
        <f>AVERAGEIFS(tblStudyData[Actual_Study_Hours],tblStudyData[Student_Name],'06_Dashboard'!$M$4,tblStudyData[Study_Method],F23)</f>
        <v>1.3666666666666665</v>
      </c>
    </row>
    <row r="24" spans="1:71" x14ac:dyDescent="0.3">
      <c r="A24" s="1" t="str">
        <v>Afternoon</v>
      </c>
      <c r="B24" s="32">
        <f>SUMIFS(tblStudyData[Actual_Study_Hours],tblStudyData[Student_Name],'06_Dashboard'!$M$4,tblStudyData[Study_Session],A24)</f>
        <v>14.000000000000002</v>
      </c>
      <c r="C24" s="30">
        <f>AVERAGEIFS(tblStudyData[Test_Score],tblStudyData[Student_Name],'06_Dashboard'!$M$4,tblStudyData[Study_Session],A24)</f>
        <v>82.5</v>
      </c>
      <c r="F24" s="1" t="str">
        <v>Online Class</v>
      </c>
      <c r="G24" s="1">
        <f>SUMIFS(tblStudyData[Actual_Study_Hours],tblStudyData[Student_Name],'06_Dashboard'!$M$4,tblStudyData[Study_Method],F24)</f>
        <v>8</v>
      </c>
      <c r="H24" s="30">
        <f>AVERAGEIFS(tblStudyData[Actual_Study_Hours],tblStudyData[Student_Name],'06_Dashboard'!$M$4,tblStudyData[Study_Method],F24)</f>
        <v>2</v>
      </c>
    </row>
    <row r="25" spans="1:71" x14ac:dyDescent="0.3">
      <c r="A25" s="1" t="str">
        <v>Evening</v>
      </c>
      <c r="B25" s="32">
        <f>SUMIFS(tblStudyData[Actual_Study_Hours],tblStudyData[Student_Name],'06_Dashboard'!$M$4,tblStudyData[Study_Session],A25)</f>
        <v>10.100000000000001</v>
      </c>
      <c r="C25" s="30">
        <f>AVERAGEIFS(tblStudyData[Test_Score],tblStudyData[Student_Name],'06_Dashboard'!$M$4,tblStudyData[Study_Session],A25)</f>
        <v>81</v>
      </c>
      <c r="F25" s="1" t="str">
        <v>Group Study</v>
      </c>
      <c r="G25" s="1">
        <f>SUMIFS(tblStudyData[Actual_Study_Hours],tblStudyData[Student_Name],'06_Dashboard'!$M$4,tblStudyData[Study_Method],F25)</f>
        <v>8.1</v>
      </c>
      <c r="H25" s="30">
        <f>AVERAGEIFS(tblStudyData[Actual_Study_Hours],tblStudyData[Student_Name],'06_Dashboard'!$M$4,tblStudyData[Study_Method],F25)</f>
        <v>2.6999999999999997</v>
      </c>
    </row>
    <row r="26" spans="1:71" x14ac:dyDescent="0.3">
      <c r="A26" s="1" t="str">
        <v>Night</v>
      </c>
      <c r="B26" s="32">
        <f>SUMIFS(tblStudyData[Actual_Study_Hours],tblStudyData[Student_Name],'06_Dashboard'!$M$4,tblStudyData[Study_Session],A26)</f>
        <v>3</v>
      </c>
      <c r="C26" s="30">
        <f>AVERAGEIFS(tblStudyData[Test_Score],tblStudyData[Student_Name],'06_Dashboard'!$M$4,tblStudyData[Study_Session],A26)</f>
        <v>74</v>
      </c>
      <c r="F26" s="1" t="str">
        <v>Vedio Learning</v>
      </c>
      <c r="G26" s="1">
        <f>SUMIFS(tblStudyData[Actual_Study_Hours],tblStudyData[Student_Name],'06_Dashboard'!$M$4,tblStudyData[Study_Method],F26)</f>
        <v>4.9000000000000004</v>
      </c>
      <c r="H26" s="30">
        <f>AVERAGEIFS(tblStudyData[Actual_Study_Hours],tblStudyData[Student_Name],'06_Dashboard'!$M$4,tblStudyData[Study_Method],F26)</f>
        <v>2.4500000000000002</v>
      </c>
    </row>
    <row r="27" spans="1:71" x14ac:dyDescent="0.3">
      <c r="F27" s="1" t="str">
        <v>Practice</v>
      </c>
      <c r="G27" s="1">
        <f>SUMIFS(tblStudyData[Actual_Study_Hours],tblStudyData[Student_Name],'06_Dashboard'!$M$4,tblStudyData[Study_Method],F27)</f>
        <v>7.3</v>
      </c>
      <c r="H27" s="30">
        <f>AVERAGEIFS(tblStudyData[Actual_Study_Hours],tblStudyData[Student_Name],'06_Dashboard'!$M$4,tblStudyData[Study_Method],F27)</f>
        <v>1.825</v>
      </c>
    </row>
    <row r="28" spans="1:71" x14ac:dyDescent="0.3">
      <c r="F28" s="1" t="str">
        <v>Revision</v>
      </c>
      <c r="G28" s="1">
        <f>SUMIFS(tblStudyData[Actual_Study_Hours],tblStudyData[Student_Name],'06_Dashboard'!$M$4,tblStudyData[Study_Method],F28)</f>
        <v>2.2000000000000002</v>
      </c>
      <c r="H28" s="30">
        <f>AVERAGEIFS(tblStudyData[Actual_Study_Hours],tblStudyData[Student_Name],'06_Dashboard'!$M$4,tblStudyData[Study_Method],F28)</f>
        <v>2.2000000000000002</v>
      </c>
    </row>
    <row r="32" spans="1:71" ht="15.6" x14ac:dyDescent="0.3">
      <c r="A32" s="100" t="s">
        <v>525</v>
      </c>
      <c r="B32" s="100"/>
      <c r="C32" s="100"/>
      <c r="F32" s="100" t="s">
        <v>537</v>
      </c>
      <c r="G32" s="100"/>
      <c r="H32" s="100"/>
    </row>
    <row r="33" spans="1:8" x14ac:dyDescent="0.3">
      <c r="A33" s="35" t="s">
        <v>526</v>
      </c>
      <c r="B33" s="35" t="s">
        <v>497</v>
      </c>
      <c r="C33" s="35" t="s">
        <v>452</v>
      </c>
      <c r="F33" s="35" t="s">
        <v>502</v>
      </c>
      <c r="G33" s="35" t="s">
        <v>497</v>
      </c>
      <c r="H33" s="35" t="s">
        <v>535</v>
      </c>
    </row>
    <row r="34" spans="1:8" x14ac:dyDescent="0.3">
      <c r="A34" s="1" t="s">
        <v>527</v>
      </c>
      <c r="B34" s="30">
        <f>AVERAGEIFS(tblStudyData[Test_Score],tblStudyData[Grade],VALUE(LEFT(A34,SEARCH("-",A34)-1)),tblStudyData[Class],RIGHT(A34,1))</f>
        <v>83.117647058823536</v>
      </c>
      <c r="C34" s="36">
        <f>AVERAGEIFS(tblStudyData[Attendance_Percentage],tblStudyData[Grade],VALUE(LEFT(A34,SEARCH("-",A34)-1)),tblStudyData[Class],RIGHT(A34,1))</f>
        <v>0.87705882352941189</v>
      </c>
      <c r="F34" s="1" t="str" cm="1">
        <f t="array" ref="F34:F38">INDEX(_xlfn.SORTBY(tblStudents[Student_Name],AVERAGEIF(tblStudyData[Student_ID],tblStudents[Student_ID],tblStudyData[Test_Score]),-1),_xlfn.SEQUENCE(5))</f>
        <v>Naveen</v>
      </c>
      <c r="G34" s="30">
        <f>AVERAGEIF(tblStudyData[Student_Name],F34,tblStudyData[Test_Score])</f>
        <v>83.777777777777771</v>
      </c>
      <c r="H34" s="1" t="s">
        <v>536</v>
      </c>
    </row>
    <row r="35" spans="1:8" x14ac:dyDescent="0.3">
      <c r="A35" s="1" t="s">
        <v>528</v>
      </c>
      <c r="B35" s="30">
        <f>AVERAGEIFS(tblStudyData[Test_Score],tblStudyData[Grade],VALUE(LEFT(A35,SEARCH("-",A35)-1)),tblStudyData[Class],RIGHT(A35,1))</f>
        <v>77.045454545454547</v>
      </c>
      <c r="C35" s="36">
        <f>AVERAGEIFS(tblStudyData[Attendance_Percentage],tblStudyData[Grade],VALUE(LEFT(A35,SEARCH("-",A35)-1)),tblStudyData[Class],RIGHT(A35,1))</f>
        <v>0.89500000000000024</v>
      </c>
      <c r="F35" s="1" t="str">
        <v>Rohit</v>
      </c>
      <c r="G35" s="30">
        <f>AVERAGEIF(tblStudyData[Student_Name],F35,tblStudyData[Test_Score])</f>
        <v>83.266666666666666</v>
      </c>
      <c r="H35" s="1" t="s">
        <v>536</v>
      </c>
    </row>
    <row r="36" spans="1:8" x14ac:dyDescent="0.3">
      <c r="A36" s="1" t="s">
        <v>529</v>
      </c>
      <c r="B36" s="30">
        <f>AVERAGEIFS(tblStudyData[Test_Score],tblStudyData[Grade],VALUE(LEFT(A36,SEARCH("-",A36)-1)),tblStudyData[Class],RIGHT(A36,1))</f>
        <v>81.870370370370367</v>
      </c>
      <c r="C36" s="36">
        <f>AVERAGEIFS(tblStudyData[Attendance_Percentage],tblStudyData[Grade],VALUE(LEFT(A36,SEARCH("-",A36)-1)),tblStudyData[Class],RIGHT(A36,1))</f>
        <v>0.88555555555555554</v>
      </c>
      <c r="F36" s="1" t="str">
        <v>Akhil</v>
      </c>
      <c r="G36" s="30">
        <f>AVERAGEIF(tblStudyData[Student_Name],F36,tblStudyData[Test_Score])</f>
        <v>83</v>
      </c>
      <c r="H36" s="1" t="s">
        <v>536</v>
      </c>
    </row>
    <row r="37" spans="1:8" x14ac:dyDescent="0.3">
      <c r="A37" s="1" t="s">
        <v>530</v>
      </c>
      <c r="B37" s="30">
        <f>AVERAGEIFS(tblStudyData[Test_Score],tblStudyData[Grade],VALUE(LEFT(A37,SEARCH("-",A37)-1)),tblStudyData[Class],RIGHT(A37,1))</f>
        <v>81.791666666666671</v>
      </c>
      <c r="C37" s="36">
        <f>AVERAGEIFS(tblStudyData[Attendance_Percentage],tblStudyData[Grade],VALUE(LEFT(A37,SEARCH("-",A37)-1)),tblStudyData[Class],RIGHT(A37,1))</f>
        <v>0.88166666666666682</v>
      </c>
      <c r="F37" s="1" t="str">
        <v>Priya</v>
      </c>
      <c r="G37" s="30">
        <f>AVERAGEIF(tblStudyData[Student_Name],F37,tblStudyData[Test_Score])</f>
        <v>82.6875</v>
      </c>
      <c r="H37" s="1" t="s">
        <v>536</v>
      </c>
    </row>
    <row r="38" spans="1:8" x14ac:dyDescent="0.3">
      <c r="A38" s="1" t="s">
        <v>531</v>
      </c>
      <c r="B38" s="30">
        <f>AVERAGEIFS(tblStudyData[Test_Score],tblStudyData[Grade],VALUE(LEFT(A38,SEARCH("-",A38)-1)),tblStudyData[Class],RIGHT(A38,1))</f>
        <v>79.551020408163268</v>
      </c>
      <c r="C38" s="36">
        <f>AVERAGEIFS(tblStudyData[Attendance_Percentage],tblStudyData[Grade],VALUE(LEFT(A38,SEARCH("-",A38)-1)),tblStudyData[Class],RIGHT(A38,1))</f>
        <v>0.91020408163265265</v>
      </c>
      <c r="F38" s="1" t="str">
        <v>Vikaram</v>
      </c>
      <c r="G38" s="30">
        <f>AVERAGEIF(tblStudyData[Student_Name],F38,tblStudyData[Test_Score])</f>
        <v>81.791666666666671</v>
      </c>
      <c r="H38" s="1" t="s">
        <v>536</v>
      </c>
    </row>
    <row r="39" spans="1:8" x14ac:dyDescent="0.3">
      <c r="A39" s="1" t="s">
        <v>532</v>
      </c>
      <c r="B39" s="30">
        <f>AVERAGEIFS(tblStudyData[Test_Score],tblStudyData[Grade],VALUE(LEFT(A39,SEARCH("-",A39)-1)),tblStudyData[Class],RIGHT(A39,1))</f>
        <v>79.400000000000006</v>
      </c>
      <c r="C39" s="36">
        <f>AVERAGEIFS(tblStudyData[Attendance_Percentage],tblStudyData[Grade],VALUE(LEFT(A39,SEARCH("-",A39)-1)),tblStudyData[Class],RIGHT(A39,1))</f>
        <v>0.93577777777777804</v>
      </c>
    </row>
    <row r="40" spans="1:8" x14ac:dyDescent="0.3">
      <c r="A40" s="1" t="s">
        <v>533</v>
      </c>
      <c r="B40" s="30">
        <f>AVERAGEIFS(tblStudyData[Test_Score],tblStudyData[Grade],VALUE(LEFT(A40,SEARCH("-",A40)-1)),tblStudyData[Class],RIGHT(A40,1))</f>
        <v>80.84615384615384</v>
      </c>
      <c r="C40" s="36">
        <f>AVERAGEIFS(tblStudyData[Attendance_Percentage],tblStudyData[Grade],VALUE(LEFT(A40,SEARCH("-",A40)-1)),tblStudyData[Class],RIGHT(A40,1))</f>
        <v>0.89846153846153842</v>
      </c>
    </row>
    <row r="41" spans="1:8" x14ac:dyDescent="0.3">
      <c r="A41" s="1" t="s">
        <v>534</v>
      </c>
      <c r="B41" s="30">
        <f>AVERAGEIFS(tblStudyData[Test_Score],tblStudyData[Grade],VALUE(LEFT(A41,SEARCH("-",A41)-1)),tblStudyData[Class],RIGHT(A41,1))</f>
        <v>81.578947368421055</v>
      </c>
      <c r="C41" s="36">
        <f>AVERAGEIFS(tblStudyData[Attendance_Percentage],tblStudyData[Grade],VALUE(LEFT(A41,SEARCH("-",A41)-1)),tblStudyData[Class],RIGHT(A41,1))</f>
        <v>0.86421052631578954</v>
      </c>
    </row>
    <row r="45" spans="1:8" ht="15.6" x14ac:dyDescent="0.3">
      <c r="A45" s="100" t="s">
        <v>538</v>
      </c>
      <c r="B45" s="100"/>
      <c r="C45" s="100"/>
      <c r="F45" s="100" t="s">
        <v>543</v>
      </c>
      <c r="G45" s="100"/>
      <c r="H45" s="100"/>
    </row>
    <row r="46" spans="1:8" x14ac:dyDescent="0.3">
      <c r="A46" s="35" t="s">
        <v>502</v>
      </c>
      <c r="B46" s="35" t="s">
        <v>497</v>
      </c>
      <c r="C46" s="35" t="s">
        <v>535</v>
      </c>
      <c r="F46" s="35" t="s">
        <v>540</v>
      </c>
      <c r="G46" s="35" t="s">
        <v>541</v>
      </c>
      <c r="H46" s="35" t="s">
        <v>542</v>
      </c>
    </row>
    <row r="47" spans="1:8" x14ac:dyDescent="0.3">
      <c r="A47" s="1" t="str" cm="1">
        <f t="array" ref="A47:A51">INDEX(_xlfn.SORTBY(tblStudents[Student_Name],AVERAGEIF(tblStudyData[Student_ID],tblStudents[Student_ID],tblStudyData[Test_Score]),1),_xlfn.SEQUENCE(5))</f>
        <v>Sneha</v>
      </c>
      <c r="B47" s="30">
        <f>AVERAGEIF(tblStudyData[Student_Name],A47,tblStudyData[Test_Score])</f>
        <v>75.928571428571431</v>
      </c>
      <c r="C47" s="1" t="s">
        <v>539</v>
      </c>
      <c r="F47" s="1" t="str" cm="1">
        <f t="array" ref="F47:F52">tblSubjects[Subjects]</f>
        <v>Mathematics</v>
      </c>
      <c r="G47" s="1">
        <f>SUMIFS(tblStudyData[Planned_Hours],tblStudyData[Student_Name],'06_Dashboard'!$M$4,tblStudyData[Subject],F47)</f>
        <v>7</v>
      </c>
      <c r="H47" s="1">
        <f>SUMIFS(tblStudyData[Actual_Study_Hours],tblStudyData[Student_Name],'06_Dashboard'!$M$4,tblStudyData[Subject],F47)</f>
        <v>6.4</v>
      </c>
    </row>
    <row r="48" spans="1:8" x14ac:dyDescent="0.3">
      <c r="A48" s="1" t="str">
        <v>Sai</v>
      </c>
      <c r="B48" s="30">
        <f>AVERAGEIF(tblStudyData[Student_Name],A48,tblStudyData[Test_Score])</f>
        <v>77.045454545454547</v>
      </c>
      <c r="C48" s="1" t="s">
        <v>539</v>
      </c>
      <c r="F48" s="1" t="str">
        <v>Physics</v>
      </c>
      <c r="G48" s="1">
        <f>SUMIFS(tblStudyData[Planned_Hours],tblStudyData[Student_Name],'06_Dashboard'!$M$4,tblStudyData[Subject],F48)</f>
        <v>5</v>
      </c>
      <c r="H48" s="1">
        <f>SUMIFS(tblStudyData[Actual_Study_Hours],tblStudyData[Student_Name],'06_Dashboard'!$M$4,tblStudyData[Subject],F48)</f>
        <v>4</v>
      </c>
    </row>
    <row r="49" spans="1:8" x14ac:dyDescent="0.3">
      <c r="A49" s="1" t="str">
        <v>Arjun</v>
      </c>
      <c r="B49" s="30">
        <f>AVERAGEIF(tblStudyData[Student_Name],A49,tblStudyData[Test_Score])</f>
        <v>77.63636363636364</v>
      </c>
      <c r="C49" s="1" t="s">
        <v>539</v>
      </c>
      <c r="F49" s="1" t="str">
        <v>Chemistry</v>
      </c>
      <c r="G49" s="1">
        <f>SUMIFS(tblStudyData[Planned_Hours],tblStudyData[Student_Name],'06_Dashboard'!$M$4,tblStudyData[Subject],F49)</f>
        <v>7</v>
      </c>
      <c r="H49" s="1">
        <f>SUMIFS(tblStudyData[Actual_Study_Hours],tblStudyData[Student_Name],'06_Dashboard'!$M$4,tblStudyData[Subject],F49)</f>
        <v>5.4</v>
      </c>
    </row>
    <row r="50" spans="1:8" x14ac:dyDescent="0.3">
      <c r="A50" s="1" t="str">
        <v>Anjali</v>
      </c>
      <c r="B50" s="30">
        <f>AVERAGEIF(tblStudyData[Student_Name],A50,tblStudyData[Test_Score])</f>
        <v>79.09375</v>
      </c>
      <c r="C50" s="1" t="s">
        <v>539</v>
      </c>
      <c r="F50" s="1" t="str">
        <v>English</v>
      </c>
      <c r="G50" s="1">
        <f>SUMIFS(tblStudyData[Planned_Hours],tblStudyData[Student_Name],'06_Dashboard'!$M$4,tblStudyData[Subject],F50)</f>
        <v>9</v>
      </c>
      <c r="H50" s="1">
        <f>SUMIFS(tblStudyData[Actual_Study_Hours],tblStudyData[Student_Name],'06_Dashboard'!$M$4,tblStudyData[Subject],F50)</f>
        <v>7.2</v>
      </c>
    </row>
    <row r="51" spans="1:8" x14ac:dyDescent="0.3">
      <c r="A51" s="1" t="str">
        <v>Rahul</v>
      </c>
      <c r="B51" s="30">
        <f>AVERAGEIF(tblStudyData[Student_Name],A51,tblStudyData[Test_Score])</f>
        <v>79.5</v>
      </c>
      <c r="C51" s="1" t="s">
        <v>539</v>
      </c>
      <c r="F51" s="1" t="str">
        <v>Computer Science</v>
      </c>
      <c r="G51" s="1">
        <f>SUMIFS(tblStudyData[Planned_Hours],tblStudyData[Student_Name],'06_Dashboard'!$M$4,tblStudyData[Subject],F51)</f>
        <v>3</v>
      </c>
      <c r="H51" s="1">
        <f>SUMIFS(tblStudyData[Actual_Study_Hours],tblStudyData[Student_Name],'06_Dashboard'!$M$4,tblStudyData[Subject],F51)</f>
        <v>2.1</v>
      </c>
    </row>
    <row r="52" spans="1:8" x14ac:dyDescent="0.3">
      <c r="F52" s="1" t="str">
        <v>Biology</v>
      </c>
      <c r="G52" s="1">
        <f>SUMIFS(tblStudyData[Planned_Hours],tblStudyData[Student_Name],'06_Dashboard'!$M$4,tblStudyData[Subject],F52)</f>
        <v>12</v>
      </c>
      <c r="H52" s="1">
        <f>SUMIFS(tblStudyData[Actual_Study_Hours],tblStudyData[Student_Name],'06_Dashboard'!$M$4,tblStudyData[Subject],F52)</f>
        <v>9.5</v>
      </c>
    </row>
    <row r="56" spans="1:8" ht="15.6" x14ac:dyDescent="0.3">
      <c r="A56" s="101" t="s">
        <v>473</v>
      </c>
      <c r="B56" s="101"/>
      <c r="F56" s="100" t="s">
        <v>544</v>
      </c>
      <c r="G56" s="100"/>
    </row>
    <row r="57" spans="1:8" x14ac:dyDescent="0.3">
      <c r="A57" s="35" t="s">
        <v>467</v>
      </c>
      <c r="B57" s="35" t="s">
        <v>448</v>
      </c>
      <c r="F57" s="35" t="s">
        <v>447</v>
      </c>
      <c r="G57" s="35" t="s">
        <v>448</v>
      </c>
    </row>
    <row r="58" spans="1:8" x14ac:dyDescent="0.3">
      <c r="A58" s="1" t="s">
        <v>468</v>
      </c>
      <c r="B58" s="1">
        <f>COUNTIFS(tblStudyData[Student_Name],'06_Dashboard'!$M$4,tblStudyData[Test_Score],"&gt;=0",tblStudyData[Test_Score],"&lt;=39")</f>
        <v>0</v>
      </c>
      <c r="F58" s="34" t="s">
        <v>53</v>
      </c>
      <c r="G58" s="34">
        <f>COUNTIFS(tblStudyData[Student_Name],'06_Dashboard'!$M$4,tblStudyData[Attendence_Status],F58)</f>
        <v>7</v>
      </c>
    </row>
    <row r="59" spans="1:8" x14ac:dyDescent="0.3">
      <c r="A59" s="1" t="s">
        <v>469</v>
      </c>
      <c r="B59" s="1">
        <f>COUNTIFS(tblStudyData[Student_Name],'06_Dashboard'!$M$4,tblStudyData[Test_Score],"&gt;=40",tblStudyData[Test_Score],"&lt;=59")</f>
        <v>0</v>
      </c>
      <c r="F59" s="34" t="s">
        <v>409</v>
      </c>
      <c r="G59" s="34">
        <f>COUNTIFS(tblStudyData[Student_Name],'06_Dashboard'!$M$4,tblStudyData[Attendence_Status],F59)</f>
        <v>3</v>
      </c>
    </row>
    <row r="60" spans="1:8" x14ac:dyDescent="0.3">
      <c r="A60" s="1" t="s">
        <v>470</v>
      </c>
      <c r="B60" s="1">
        <f>COUNTIFS(tblStudyData[Student_Name],'06_Dashboard'!$M$4,tblStudyData[Test_Score],"&gt;=60",tblStudyData[Test_Score],"&lt;=79")</f>
        <v>8</v>
      </c>
      <c r="F60" s="34" t="s">
        <v>412</v>
      </c>
      <c r="G60" s="34">
        <f>COUNTIFS(tblStudyData[Student_Name],'06_Dashboard'!$M$4,tblStudyData[Attendence_Status],F60)</f>
        <v>7</v>
      </c>
    </row>
    <row r="61" spans="1:8" x14ac:dyDescent="0.3">
      <c r="A61" s="1" t="s">
        <v>471</v>
      </c>
      <c r="B61" s="1">
        <f>COUNTIFS(tblStudyData[Student_Name],'06_Dashboard'!$M$4,tblStudyData[Test_Score],"&gt;=80",tblStudyData[Test_Score],"&lt;=89")</f>
        <v>7</v>
      </c>
      <c r="F61" s="34" t="s">
        <v>449</v>
      </c>
      <c r="G61" s="34">
        <f>COUNTIFS(tblStudyData[Student_Name],'06_Dashboard'!$M$4,tblStudyData[Attendence_Status],F61)</f>
        <v>0</v>
      </c>
    </row>
    <row r="62" spans="1:8" x14ac:dyDescent="0.3">
      <c r="A62" s="1" t="s">
        <v>472</v>
      </c>
      <c r="B62" s="1">
        <f>COUNTIFS(tblStudyData[Student_Name],'06_Dashboard'!$M$4,tblStudyData[Test_Score],"&gt;=90",tblStudyData[Test_Score],"&lt;=100")</f>
        <v>2</v>
      </c>
    </row>
    <row r="66" spans="1:5" ht="15.6" x14ac:dyDescent="0.3">
      <c r="A66" s="100" t="s">
        <v>545</v>
      </c>
      <c r="B66" s="100"/>
      <c r="C66" s="100"/>
      <c r="D66" s="100"/>
      <c r="E66" s="100"/>
    </row>
    <row r="67" spans="1:5" x14ac:dyDescent="0.3">
      <c r="A67" s="35" t="s">
        <v>452</v>
      </c>
      <c r="B67" s="35" t="s">
        <v>546</v>
      </c>
      <c r="C67" s="35"/>
      <c r="D67" s="35" t="s">
        <v>452</v>
      </c>
      <c r="E67" s="35" t="s">
        <v>546</v>
      </c>
    </row>
    <row r="68" spans="1:5" x14ac:dyDescent="0.3">
      <c r="A68" s="32" cm="1">
        <f t="array" ref="A68:A84">_xlfn._xlws.FILTER(tblStudyData[Attendance_Percentage],tblStudyData[Student_Name]='06_Dashboard'!$M$4)</f>
        <v>1</v>
      </c>
      <c r="B68" s="1" cm="1">
        <f t="array" ref="B68:B84">_xlfn._xlws.FILTER(tblStudyData[Test_Score],tblStudyData[Student_Name]='06_Dashboard'!$M$4)</f>
        <v>69</v>
      </c>
      <c r="C68" s="1"/>
      <c r="D68" s="32" cm="1">
        <f t="array" ref="D68:D84">_xlfn._xlws.FILTER(tblStudyData[Attendance_Percentage],tblStudyData[Student_Name]='06_Dashboard'!$M$4)</f>
        <v>1</v>
      </c>
      <c r="E68" s="1" cm="1">
        <f t="array" ref="E68:E84">_xlfn._xlws.FILTER(tblStudyData[Test_Score],tblStudyData[Student_Name]='06_Dashboard'!$M$4)</f>
        <v>69</v>
      </c>
    </row>
    <row r="69" spans="1:5" x14ac:dyDescent="0.3">
      <c r="A69" s="32">
        <v>1</v>
      </c>
      <c r="B69" s="1">
        <v>80</v>
      </c>
      <c r="C69" s="1"/>
      <c r="D69" s="32">
        <v>1</v>
      </c>
      <c r="E69" s="1">
        <v>80</v>
      </c>
    </row>
    <row r="70" spans="1:5" x14ac:dyDescent="0.3">
      <c r="A70" s="32">
        <v>0.78</v>
      </c>
      <c r="B70" s="1">
        <v>73</v>
      </c>
      <c r="C70" s="1"/>
      <c r="D70" s="32">
        <v>0.78</v>
      </c>
      <c r="E70" s="1">
        <v>73</v>
      </c>
    </row>
    <row r="71" spans="1:5" x14ac:dyDescent="0.3">
      <c r="A71" s="32">
        <v>1</v>
      </c>
      <c r="B71" s="1">
        <v>77</v>
      </c>
      <c r="C71" s="1"/>
      <c r="D71" s="32">
        <v>1</v>
      </c>
      <c r="E71" s="1">
        <v>77</v>
      </c>
    </row>
    <row r="72" spans="1:5" x14ac:dyDescent="0.3">
      <c r="A72" s="32">
        <v>0.78</v>
      </c>
      <c r="B72" s="1">
        <v>74</v>
      </c>
      <c r="C72" s="1"/>
      <c r="D72" s="32">
        <v>0.78</v>
      </c>
      <c r="E72" s="1">
        <v>74</v>
      </c>
    </row>
    <row r="73" spans="1:5" x14ac:dyDescent="0.3">
      <c r="A73" s="32">
        <v>0.9</v>
      </c>
      <c r="B73" s="1">
        <v>95</v>
      </c>
      <c r="C73" s="1"/>
      <c r="D73" s="32">
        <v>0.9</v>
      </c>
      <c r="E73" s="1">
        <v>95</v>
      </c>
    </row>
    <row r="74" spans="1:5" x14ac:dyDescent="0.3">
      <c r="A74" s="32">
        <v>0.85</v>
      </c>
      <c r="B74" s="1">
        <v>81</v>
      </c>
      <c r="C74" s="1"/>
      <c r="D74" s="32">
        <v>0.85</v>
      </c>
      <c r="E74" s="1">
        <v>81</v>
      </c>
    </row>
    <row r="75" spans="1:5" x14ac:dyDescent="0.3">
      <c r="A75" s="32">
        <v>0.8</v>
      </c>
      <c r="B75" s="1">
        <v>72</v>
      </c>
      <c r="C75" s="1"/>
      <c r="D75" s="32">
        <v>0.8</v>
      </c>
      <c r="E75" s="1">
        <v>72</v>
      </c>
    </row>
    <row r="76" spans="1:5" x14ac:dyDescent="0.3">
      <c r="A76" s="32">
        <v>1</v>
      </c>
      <c r="B76" s="1">
        <v>88</v>
      </c>
      <c r="C76" s="1"/>
      <c r="D76" s="32">
        <v>1</v>
      </c>
      <c r="E76" s="1">
        <v>88</v>
      </c>
    </row>
    <row r="77" spans="1:5" x14ac:dyDescent="0.3">
      <c r="A77" s="32">
        <v>1</v>
      </c>
      <c r="B77" s="1">
        <v>75</v>
      </c>
      <c r="C77" s="1"/>
      <c r="D77" s="32">
        <v>1</v>
      </c>
      <c r="E77" s="1">
        <v>75</v>
      </c>
    </row>
    <row r="78" spans="1:5" x14ac:dyDescent="0.3">
      <c r="A78" s="32">
        <v>1</v>
      </c>
      <c r="B78" s="1">
        <v>82</v>
      </c>
      <c r="C78" s="1"/>
      <c r="D78" s="32">
        <v>1</v>
      </c>
      <c r="E78" s="1">
        <v>82</v>
      </c>
    </row>
    <row r="79" spans="1:5" x14ac:dyDescent="0.3">
      <c r="A79" s="32">
        <v>1</v>
      </c>
      <c r="B79" s="1">
        <v>92</v>
      </c>
      <c r="C79" s="1"/>
      <c r="D79" s="32">
        <v>1</v>
      </c>
      <c r="E79" s="1">
        <v>92</v>
      </c>
    </row>
    <row r="80" spans="1:5" x14ac:dyDescent="0.3">
      <c r="A80" s="32">
        <v>0.8</v>
      </c>
      <c r="B80" s="1">
        <v>75</v>
      </c>
      <c r="C80" s="1"/>
      <c r="D80" s="32">
        <v>0.8</v>
      </c>
      <c r="E80" s="1">
        <v>75</v>
      </c>
    </row>
    <row r="81" spans="1:5" x14ac:dyDescent="0.3">
      <c r="A81" s="32">
        <v>0.88</v>
      </c>
      <c r="B81" s="1">
        <v>76</v>
      </c>
      <c r="C81" s="1"/>
      <c r="D81" s="32">
        <v>0.88</v>
      </c>
      <c r="E81" s="1">
        <v>76</v>
      </c>
    </row>
    <row r="82" spans="1:5" x14ac:dyDescent="0.3">
      <c r="A82" s="32">
        <v>0.8</v>
      </c>
      <c r="B82" s="1">
        <v>87</v>
      </c>
      <c r="C82" s="1"/>
      <c r="D82" s="32">
        <v>0.8</v>
      </c>
      <c r="E82" s="1">
        <v>87</v>
      </c>
    </row>
    <row r="83" spans="1:5" x14ac:dyDescent="0.3">
      <c r="A83" s="32">
        <v>1</v>
      </c>
      <c r="B83" s="1">
        <v>86</v>
      </c>
      <c r="C83" s="1"/>
      <c r="D83" s="32">
        <v>1</v>
      </c>
      <c r="E83" s="1">
        <v>86</v>
      </c>
    </row>
    <row r="84" spans="1:5" x14ac:dyDescent="0.3">
      <c r="A84" s="32">
        <v>1</v>
      </c>
      <c r="B84" s="1">
        <v>85</v>
      </c>
      <c r="C84" s="1"/>
      <c r="D84" s="32">
        <v>1</v>
      </c>
      <c r="E84" s="1">
        <v>85</v>
      </c>
    </row>
    <row r="85" spans="1:5" x14ac:dyDescent="0.3">
      <c r="A85" s="32"/>
      <c r="B85" s="1"/>
      <c r="C85" s="1"/>
      <c r="D85" s="32"/>
      <c r="E85" s="1"/>
    </row>
    <row r="86" spans="1:5" x14ac:dyDescent="0.3">
      <c r="A86" s="32"/>
      <c r="B86" s="1"/>
      <c r="C86" s="1"/>
      <c r="D86" s="32"/>
      <c r="E86" s="1"/>
    </row>
    <row r="87" spans="1:5" x14ac:dyDescent="0.3">
      <c r="A87" s="32"/>
      <c r="B87" s="1"/>
      <c r="C87" s="1"/>
      <c r="D87" s="32"/>
      <c r="E87" s="1"/>
    </row>
    <row r="88" spans="1:5" x14ac:dyDescent="0.3">
      <c r="A88" s="32"/>
      <c r="B88" s="1"/>
      <c r="C88" s="1"/>
      <c r="D88" s="32"/>
      <c r="E88" s="1"/>
    </row>
    <row r="89" spans="1:5" x14ac:dyDescent="0.3">
      <c r="A89" s="32"/>
      <c r="B89" s="1"/>
      <c r="C89" s="1"/>
      <c r="D89" s="32"/>
      <c r="E89" s="1"/>
    </row>
    <row r="90" spans="1:5" x14ac:dyDescent="0.3">
      <c r="A90" s="32"/>
      <c r="B90" s="1"/>
      <c r="C90" s="1"/>
      <c r="D90" s="32"/>
      <c r="E90" s="1"/>
    </row>
  </sheetData>
  <mergeCells count="20">
    <mergeCell ref="A1:D1"/>
    <mergeCell ref="G1:H1"/>
    <mergeCell ref="A11:D11"/>
    <mergeCell ref="F11:H11"/>
    <mergeCell ref="A21:C21"/>
    <mergeCell ref="F21:H21"/>
    <mergeCell ref="B18:C18"/>
    <mergeCell ref="B12:C12"/>
    <mergeCell ref="B13:C13"/>
    <mergeCell ref="B14:C14"/>
    <mergeCell ref="B15:C15"/>
    <mergeCell ref="B16:C16"/>
    <mergeCell ref="B17:C17"/>
    <mergeCell ref="A66:E66"/>
    <mergeCell ref="A32:C32"/>
    <mergeCell ref="F32:H32"/>
    <mergeCell ref="A45:C45"/>
    <mergeCell ref="F45:H45"/>
    <mergeCell ref="A56:B56"/>
    <mergeCell ref="F56:G56"/>
  </mergeCells>
  <conditionalFormatting sqref="AI17">
    <cfRule type="expression" priority="2">
      <formula>row=cell</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53545-8E6D-4635-826F-03CFCDD6BEA4}">
  <sheetPr codeName="Sheet6">
    <tabColor theme="1" tint="0.249977111117893"/>
  </sheetPr>
  <dimension ref="A1:L135"/>
  <sheetViews>
    <sheetView zoomScale="115" zoomScaleNormal="115" workbookViewId="0">
      <selection sqref="A1:L2"/>
    </sheetView>
  </sheetViews>
  <sheetFormatPr defaultRowHeight="14.4" x14ac:dyDescent="0.3"/>
  <cols>
    <col min="1" max="1" width="12.5546875" bestFit="1" customWidth="1"/>
    <col min="2" max="2" width="24.88671875" bestFit="1" customWidth="1"/>
    <col min="3" max="3" width="19.88671875" bestFit="1" customWidth="1"/>
    <col min="4" max="4" width="31.33203125" bestFit="1" customWidth="1"/>
    <col min="5" max="5" width="13.88671875" bestFit="1" customWidth="1"/>
    <col min="6" max="6" width="20.5546875" bestFit="1" customWidth="1"/>
    <col min="7" max="7" width="28.88671875" bestFit="1" customWidth="1"/>
    <col min="8" max="8" width="32.44140625" bestFit="1" customWidth="1"/>
    <col min="9" max="9" width="13.88671875" bestFit="1" customWidth="1"/>
    <col min="10" max="10" width="28.88671875" bestFit="1" customWidth="1"/>
    <col min="11" max="12" width="21.6640625" customWidth="1"/>
  </cols>
  <sheetData>
    <row r="1" spans="1:12" ht="22.8" customHeight="1" x14ac:dyDescent="0.3">
      <c r="A1" s="95" t="s">
        <v>510</v>
      </c>
      <c r="B1" s="95"/>
      <c r="C1" s="95"/>
      <c r="D1" s="95"/>
      <c r="E1" s="95"/>
      <c r="F1" s="95"/>
      <c r="G1" s="95"/>
      <c r="H1" s="95"/>
      <c r="I1" s="95"/>
      <c r="J1" s="95"/>
      <c r="K1" s="95"/>
      <c r="L1" s="95"/>
    </row>
    <row r="2" spans="1:12" ht="22.8" customHeight="1" x14ac:dyDescent="0.3">
      <c r="A2" s="95"/>
      <c r="B2" s="95"/>
      <c r="C2" s="95"/>
      <c r="D2" s="95"/>
      <c r="E2" s="95"/>
      <c r="F2" s="95"/>
      <c r="G2" s="95"/>
      <c r="H2" s="95"/>
      <c r="I2" s="95"/>
      <c r="J2" s="95"/>
      <c r="K2" s="95"/>
      <c r="L2" s="95"/>
    </row>
    <row r="3" spans="1:12" ht="30" customHeight="1" x14ac:dyDescent="0.3">
      <c r="A3" s="96"/>
      <c r="B3" s="96"/>
      <c r="C3" s="96"/>
      <c r="D3" s="96"/>
      <c r="E3" s="96"/>
      <c r="F3" s="96"/>
      <c r="G3" s="96"/>
      <c r="H3" s="96"/>
      <c r="I3" s="96"/>
      <c r="J3" s="96"/>
      <c r="K3" s="96"/>
      <c r="L3" s="96"/>
    </row>
    <row r="14" spans="1:12" x14ac:dyDescent="0.3">
      <c r="A14" s="101" t="s">
        <v>479</v>
      </c>
      <c r="B14" s="101"/>
      <c r="C14" s="101"/>
      <c r="D14" s="101"/>
      <c r="J14">
        <f>G31</f>
        <v>0</v>
      </c>
    </row>
    <row r="15" spans="1:12" x14ac:dyDescent="0.3">
      <c r="A15" s="23" t="s">
        <v>474</v>
      </c>
      <c r="B15" t="s">
        <v>476</v>
      </c>
      <c r="C15" t="s">
        <v>477</v>
      </c>
      <c r="D15" t="s">
        <v>478</v>
      </c>
    </row>
    <row r="16" spans="1:12" x14ac:dyDescent="0.3">
      <c r="A16" s="24" t="s">
        <v>86</v>
      </c>
      <c r="B16" s="21">
        <v>3.5</v>
      </c>
      <c r="C16" s="21">
        <v>80</v>
      </c>
      <c r="D16" s="26">
        <v>0.78</v>
      </c>
    </row>
    <row r="17" spans="1:11" x14ac:dyDescent="0.3">
      <c r="A17" s="24" t="s">
        <v>475</v>
      </c>
      <c r="B17" s="21">
        <v>3.5</v>
      </c>
      <c r="C17" s="25">
        <v>80</v>
      </c>
      <c r="D17" s="26">
        <v>0.78</v>
      </c>
    </row>
    <row r="21" spans="1:11" x14ac:dyDescent="0.3">
      <c r="G21" s="47"/>
    </row>
    <row r="24" spans="1:11" x14ac:dyDescent="0.3">
      <c r="H24" s="24"/>
      <c r="I24" s="21"/>
      <c r="J24" s="21"/>
      <c r="K24" s="26"/>
    </row>
    <row r="25" spans="1:11" x14ac:dyDescent="0.3">
      <c r="H25" s="24"/>
      <c r="I25" s="21"/>
      <c r="J25" s="21"/>
      <c r="K25" s="86"/>
    </row>
    <row r="26" spans="1:11" x14ac:dyDescent="0.3">
      <c r="A26" s="101" t="s">
        <v>480</v>
      </c>
      <c r="B26" s="101"/>
      <c r="C26" s="101"/>
      <c r="D26" s="101"/>
      <c r="H26" s="24"/>
      <c r="I26" s="21"/>
      <c r="J26" s="21"/>
      <c r="K26" s="26"/>
    </row>
    <row r="27" spans="1:11" x14ac:dyDescent="0.3">
      <c r="A27" s="23" t="s">
        <v>474</v>
      </c>
      <c r="B27" t="s">
        <v>476</v>
      </c>
      <c r="C27" t="s">
        <v>477</v>
      </c>
      <c r="D27" s="94" t="s">
        <v>478</v>
      </c>
      <c r="I27" s="21"/>
      <c r="J27" s="21"/>
      <c r="K27" s="26"/>
    </row>
    <row r="28" spans="1:11" x14ac:dyDescent="0.3">
      <c r="A28" s="24" t="s">
        <v>84</v>
      </c>
      <c r="B28" s="21">
        <v>34.599999999999994</v>
      </c>
      <c r="C28" s="21">
        <v>80.411764705882348</v>
      </c>
      <c r="D28" s="26">
        <v>0.55294117647058816</v>
      </c>
      <c r="I28" s="21"/>
      <c r="J28" s="21"/>
      <c r="K28" s="26"/>
    </row>
    <row r="29" spans="1:11" x14ac:dyDescent="0.3">
      <c r="A29" s="24" t="s">
        <v>475</v>
      </c>
      <c r="B29" s="21">
        <v>34.599999999999994</v>
      </c>
      <c r="C29" s="25">
        <v>80.411764705882348</v>
      </c>
      <c r="D29" s="26">
        <v>0.55294117647058816</v>
      </c>
      <c r="I29" s="21"/>
      <c r="J29" s="21"/>
      <c r="K29" s="26"/>
    </row>
    <row r="33" spans="1:10" x14ac:dyDescent="0.3">
      <c r="F33" t="str">
        <f>A28</f>
        <v>Kavya</v>
      </c>
    </row>
    <row r="34" spans="1:10" x14ac:dyDescent="0.3">
      <c r="F34" t="str">
        <f>A16</f>
        <v>Biology</v>
      </c>
    </row>
    <row r="35" spans="1:10" x14ac:dyDescent="0.3">
      <c r="F35">
        <f>A48</f>
        <v>31</v>
      </c>
    </row>
    <row r="46" spans="1:10" x14ac:dyDescent="0.3">
      <c r="A46" s="24" t="s">
        <v>445</v>
      </c>
      <c r="J46" s="85"/>
    </row>
    <row r="47" spans="1:10" x14ac:dyDescent="0.3">
      <c r="A47" s="23" t="s">
        <v>474</v>
      </c>
      <c r="B47" t="s">
        <v>481</v>
      </c>
      <c r="C47" t="s">
        <v>476</v>
      </c>
      <c r="D47" t="s">
        <v>477</v>
      </c>
      <c r="G47">
        <f>INDEX(G28:G42,2)</f>
        <v>0</v>
      </c>
    </row>
    <row r="48" spans="1:10" x14ac:dyDescent="0.3">
      <c r="A48" s="24">
        <v>31</v>
      </c>
      <c r="B48" s="25">
        <v>45</v>
      </c>
      <c r="C48" s="25">
        <v>36.200000000000003</v>
      </c>
      <c r="D48" s="21">
        <v>83.45</v>
      </c>
    </row>
    <row r="49" spans="1:8" x14ac:dyDescent="0.3">
      <c r="A49" s="24" t="s">
        <v>475</v>
      </c>
      <c r="B49" s="25">
        <v>45</v>
      </c>
      <c r="C49" s="25">
        <v>36.200000000000003</v>
      </c>
      <c r="D49" s="21">
        <v>83.45</v>
      </c>
    </row>
    <row r="61" spans="1:8" x14ac:dyDescent="0.3">
      <c r="A61" s="101" t="s">
        <v>447</v>
      </c>
      <c r="B61" s="101"/>
      <c r="D61" s="101" t="s">
        <v>483</v>
      </c>
      <c r="E61" s="101"/>
      <c r="G61" s="105" t="s">
        <v>485</v>
      </c>
      <c r="H61" s="105"/>
    </row>
    <row r="62" spans="1:8" x14ac:dyDescent="0.3">
      <c r="A62" s="23" t="s">
        <v>474</v>
      </c>
      <c r="B62" t="s">
        <v>482</v>
      </c>
      <c r="D62" s="23" t="s">
        <v>474</v>
      </c>
      <c r="E62" t="s">
        <v>484</v>
      </c>
      <c r="G62" s="23" t="s">
        <v>474</v>
      </c>
      <c r="H62" t="s">
        <v>478</v>
      </c>
    </row>
    <row r="63" spans="1:8" x14ac:dyDescent="0.3">
      <c r="A63" s="24" t="s">
        <v>412</v>
      </c>
      <c r="B63" s="25">
        <v>105</v>
      </c>
      <c r="D63" s="24" t="s">
        <v>88</v>
      </c>
      <c r="E63" s="21">
        <v>2.0390243902439029</v>
      </c>
      <c r="G63" s="24" t="s">
        <v>91</v>
      </c>
      <c r="H63" s="26">
        <v>0.58065217391304358</v>
      </c>
    </row>
    <row r="64" spans="1:8" x14ac:dyDescent="0.3">
      <c r="A64" s="24" t="s">
        <v>409</v>
      </c>
      <c r="B64" s="25">
        <v>93</v>
      </c>
      <c r="D64" s="24" t="s">
        <v>50</v>
      </c>
      <c r="E64" s="21">
        <v>1.9891891891891895</v>
      </c>
      <c r="G64" s="24" t="s">
        <v>90</v>
      </c>
      <c r="H64" s="26">
        <v>0.62847457627118641</v>
      </c>
    </row>
    <row r="65" spans="1:10" x14ac:dyDescent="0.3">
      <c r="A65" s="24" t="s">
        <v>53</v>
      </c>
      <c r="B65" s="25">
        <v>102</v>
      </c>
      <c r="D65" s="24" t="s">
        <v>49</v>
      </c>
      <c r="E65" s="21">
        <v>2.2841269841269844</v>
      </c>
      <c r="G65" s="24" t="s">
        <v>57</v>
      </c>
      <c r="H65" s="26">
        <v>0.65955555555555578</v>
      </c>
    </row>
    <row r="66" spans="1:10" x14ac:dyDescent="0.3">
      <c r="A66" s="24" t="s">
        <v>475</v>
      </c>
      <c r="B66" s="25">
        <v>300</v>
      </c>
      <c r="D66" s="24" t="s">
        <v>51</v>
      </c>
      <c r="E66" s="21">
        <v>1.970370370370371</v>
      </c>
      <c r="G66" s="24" t="s">
        <v>60</v>
      </c>
      <c r="H66" s="26">
        <v>0.64116279069767446</v>
      </c>
    </row>
    <row r="67" spans="1:10" x14ac:dyDescent="0.3">
      <c r="D67" s="24" t="s">
        <v>475</v>
      </c>
      <c r="E67" s="21">
        <v>2.0596666666666645</v>
      </c>
      <c r="G67" s="24" t="s">
        <v>58</v>
      </c>
      <c r="H67" s="26">
        <v>0.60511111111111127</v>
      </c>
    </row>
    <row r="68" spans="1:10" x14ac:dyDescent="0.3">
      <c r="G68" s="24" t="s">
        <v>59</v>
      </c>
      <c r="H68" s="26">
        <v>0.74387096774193506</v>
      </c>
    </row>
    <row r="69" spans="1:10" x14ac:dyDescent="0.3">
      <c r="G69" s="24" t="s">
        <v>475</v>
      </c>
      <c r="H69" s="26">
        <v>0.64796666666666758</v>
      </c>
    </row>
    <row r="76" spans="1:10" x14ac:dyDescent="0.3">
      <c r="A76" s="101" t="s">
        <v>486</v>
      </c>
      <c r="B76" s="101"/>
      <c r="C76" s="101"/>
      <c r="E76" s="101" t="s">
        <v>487</v>
      </c>
      <c r="F76" s="101"/>
      <c r="I76" s="101" t="s">
        <v>488</v>
      </c>
      <c r="J76" s="101"/>
    </row>
    <row r="77" spans="1:10" x14ac:dyDescent="0.3">
      <c r="A77" s="23" t="s">
        <v>474</v>
      </c>
      <c r="B77" t="s">
        <v>477</v>
      </c>
      <c r="C77" t="s">
        <v>484</v>
      </c>
      <c r="E77" s="23" t="s">
        <v>474</v>
      </c>
      <c r="F77" t="s">
        <v>477</v>
      </c>
      <c r="G77" t="s">
        <v>484</v>
      </c>
      <c r="I77" s="23" t="s">
        <v>474</v>
      </c>
      <c r="J77" t="s">
        <v>477</v>
      </c>
    </row>
    <row r="78" spans="1:10" x14ac:dyDescent="0.3">
      <c r="A78" s="24">
        <v>0</v>
      </c>
      <c r="B78" s="21">
        <v>75.928571428571431</v>
      </c>
      <c r="C78" s="21">
        <v>2.3642857142857139</v>
      </c>
      <c r="E78" s="24" t="s">
        <v>65</v>
      </c>
      <c r="F78" s="21">
        <v>81.654545454545456</v>
      </c>
      <c r="G78" s="21">
        <v>2.2745454545454549</v>
      </c>
      <c r="I78" s="24" t="s">
        <v>52</v>
      </c>
      <c r="J78" s="25">
        <v>80.37</v>
      </c>
    </row>
    <row r="79" spans="1:10" x14ac:dyDescent="0.3">
      <c r="A79" s="24">
        <v>9</v>
      </c>
      <c r="B79" s="21">
        <v>80.625</v>
      </c>
      <c r="C79" s="21">
        <v>2.0607142857142868</v>
      </c>
      <c r="E79" s="24" t="s">
        <v>61</v>
      </c>
      <c r="F79" s="21">
        <v>79.553191489361708</v>
      </c>
      <c r="G79" s="21">
        <v>1.8170212765957443</v>
      </c>
      <c r="I79" s="24" t="s">
        <v>475</v>
      </c>
      <c r="J79" s="25">
        <v>80.37</v>
      </c>
    </row>
    <row r="80" spans="1:10" x14ac:dyDescent="0.3">
      <c r="A80" s="24">
        <v>10</v>
      </c>
      <c r="B80" s="21">
        <v>81.84615384615384</v>
      </c>
      <c r="C80" s="21">
        <v>2.0294871794871794</v>
      </c>
      <c r="E80" s="24" t="s">
        <v>63</v>
      </c>
      <c r="F80" s="21">
        <v>79.022727272727266</v>
      </c>
      <c r="G80" s="21">
        <v>2.0159090909090911</v>
      </c>
    </row>
    <row r="81" spans="1:12" x14ac:dyDescent="0.3">
      <c r="A81" s="24">
        <v>11</v>
      </c>
      <c r="B81" s="21">
        <v>79.212765957446805</v>
      </c>
      <c r="C81" s="21">
        <v>2.0202127659574467</v>
      </c>
      <c r="E81" s="24" t="s">
        <v>62</v>
      </c>
      <c r="F81" s="21">
        <v>80.914893617021278</v>
      </c>
      <c r="G81" s="21">
        <v>2.0361702127659567</v>
      </c>
    </row>
    <row r="82" spans="1:12" x14ac:dyDescent="0.3">
      <c r="A82" s="24">
        <v>12</v>
      </c>
      <c r="B82" s="21">
        <v>81.08620689655173</v>
      </c>
      <c r="C82" s="21">
        <v>2.0896551724137931</v>
      </c>
      <c r="E82" s="24" t="s">
        <v>64</v>
      </c>
      <c r="F82" s="21">
        <v>81.625</v>
      </c>
      <c r="G82" s="21">
        <v>2.1339285714285721</v>
      </c>
    </row>
    <row r="83" spans="1:12" x14ac:dyDescent="0.3">
      <c r="A83" s="24" t="s">
        <v>475</v>
      </c>
      <c r="B83" s="21">
        <v>80.37</v>
      </c>
      <c r="C83" s="21">
        <v>2.0596666666666676</v>
      </c>
      <c r="E83" s="24" t="s">
        <v>93</v>
      </c>
      <c r="F83" s="21">
        <v>79.019607843137251</v>
      </c>
      <c r="G83" s="21">
        <v>2.0294117647058827</v>
      </c>
    </row>
    <row r="84" spans="1:12" x14ac:dyDescent="0.3">
      <c r="E84" s="24" t="s">
        <v>475</v>
      </c>
      <c r="F84" s="21">
        <v>80.37</v>
      </c>
      <c r="G84" s="21">
        <v>2.059666666666665</v>
      </c>
    </row>
    <row r="87" spans="1:12" x14ac:dyDescent="0.3">
      <c r="L87">
        <v>2</v>
      </c>
    </row>
    <row r="91" spans="1:12" x14ac:dyDescent="0.3">
      <c r="I91" s="101" t="s">
        <v>490</v>
      </c>
      <c r="J91" s="101"/>
    </row>
    <row r="92" spans="1:12" x14ac:dyDescent="0.3">
      <c r="I92" s="23" t="s">
        <v>474</v>
      </c>
      <c r="J92" t="s">
        <v>484</v>
      </c>
    </row>
    <row r="93" spans="1:12" x14ac:dyDescent="0.3">
      <c r="I93" s="24">
        <v>30</v>
      </c>
      <c r="J93" s="21">
        <v>2.2000000000000002</v>
      </c>
    </row>
    <row r="94" spans="1:12" x14ac:dyDescent="0.3">
      <c r="I94" s="24">
        <v>40</v>
      </c>
      <c r="J94" s="21">
        <v>2.8</v>
      </c>
    </row>
    <row r="95" spans="1:12" x14ac:dyDescent="0.3">
      <c r="I95" s="24">
        <v>45</v>
      </c>
      <c r="J95" s="21">
        <v>1.2666666666666666</v>
      </c>
    </row>
    <row r="96" spans="1:12" x14ac:dyDescent="0.3">
      <c r="I96" s="24">
        <v>59</v>
      </c>
      <c r="J96" s="21">
        <v>1.8</v>
      </c>
    </row>
    <row r="97" spans="9:10" x14ac:dyDescent="0.3">
      <c r="I97" s="24">
        <v>61</v>
      </c>
      <c r="J97" s="21">
        <v>2.1</v>
      </c>
    </row>
    <row r="98" spans="9:10" x14ac:dyDescent="0.3">
      <c r="I98" s="24">
        <v>62</v>
      </c>
      <c r="J98" s="21">
        <v>2.2999999999999998</v>
      </c>
    </row>
    <row r="99" spans="9:10" x14ac:dyDescent="0.3">
      <c r="I99" s="24">
        <v>63</v>
      </c>
      <c r="J99" s="21">
        <v>2</v>
      </c>
    </row>
    <row r="100" spans="9:10" x14ac:dyDescent="0.3">
      <c r="I100" s="24">
        <v>64</v>
      </c>
      <c r="J100" s="21">
        <v>0.7</v>
      </c>
    </row>
    <row r="101" spans="9:10" x14ac:dyDescent="0.3">
      <c r="I101" s="24">
        <v>66</v>
      </c>
      <c r="J101" s="21">
        <v>2.68</v>
      </c>
    </row>
    <row r="102" spans="9:10" x14ac:dyDescent="0.3">
      <c r="I102" s="24">
        <v>67</v>
      </c>
      <c r="J102" s="21">
        <v>2.6</v>
      </c>
    </row>
    <row r="103" spans="9:10" x14ac:dyDescent="0.3">
      <c r="I103" s="24">
        <v>68</v>
      </c>
      <c r="J103" s="21">
        <v>1.5</v>
      </c>
    </row>
    <row r="104" spans="9:10" x14ac:dyDescent="0.3">
      <c r="I104" s="24">
        <v>69</v>
      </c>
      <c r="J104" s="21">
        <v>1.8666666666666669</v>
      </c>
    </row>
    <row r="105" spans="9:10" x14ac:dyDescent="0.3">
      <c r="I105" s="24">
        <v>70</v>
      </c>
      <c r="J105" s="21">
        <v>1.6500000000000001</v>
      </c>
    </row>
    <row r="106" spans="9:10" x14ac:dyDescent="0.3">
      <c r="I106" s="24">
        <v>71</v>
      </c>
      <c r="J106" s="21">
        <v>1.7666666666666666</v>
      </c>
    </row>
    <row r="107" spans="9:10" x14ac:dyDescent="0.3">
      <c r="I107" s="24">
        <v>72</v>
      </c>
      <c r="J107" s="21">
        <v>2.418181818181818</v>
      </c>
    </row>
    <row r="108" spans="9:10" x14ac:dyDescent="0.3">
      <c r="I108" s="24">
        <v>73</v>
      </c>
      <c r="J108" s="21">
        <v>1.44</v>
      </c>
    </row>
    <row r="109" spans="9:10" x14ac:dyDescent="0.3">
      <c r="I109" s="24">
        <v>74</v>
      </c>
      <c r="J109" s="21">
        <v>1.55</v>
      </c>
    </row>
    <row r="110" spans="9:10" x14ac:dyDescent="0.3">
      <c r="I110" s="24">
        <v>75</v>
      </c>
      <c r="J110" s="21">
        <v>1.7769230769230768</v>
      </c>
    </row>
    <row r="111" spans="9:10" x14ac:dyDescent="0.3">
      <c r="I111" s="24">
        <v>76</v>
      </c>
      <c r="J111" s="21">
        <v>2.3076923076923075</v>
      </c>
    </row>
    <row r="112" spans="9:10" x14ac:dyDescent="0.3">
      <c r="I112" s="24">
        <v>77</v>
      </c>
      <c r="J112" s="21">
        <v>1.9250000000000005</v>
      </c>
    </row>
    <row r="113" spans="9:10" x14ac:dyDescent="0.3">
      <c r="I113" s="24">
        <v>78</v>
      </c>
      <c r="J113" s="21">
        <v>1.5428571428571427</v>
      </c>
    </row>
    <row r="114" spans="9:10" x14ac:dyDescent="0.3">
      <c r="I114" s="24">
        <v>79</v>
      </c>
      <c r="J114" s="21">
        <v>2.3000000000000003</v>
      </c>
    </row>
    <row r="115" spans="9:10" x14ac:dyDescent="0.3">
      <c r="I115" s="24">
        <v>80</v>
      </c>
      <c r="J115" s="21">
        <v>2.1812499999999999</v>
      </c>
    </row>
    <row r="116" spans="9:10" x14ac:dyDescent="0.3">
      <c r="I116" s="24">
        <v>81</v>
      </c>
      <c r="J116" s="21">
        <v>2.5636363636363635</v>
      </c>
    </row>
    <row r="117" spans="9:10" x14ac:dyDescent="0.3">
      <c r="I117" s="24">
        <v>82</v>
      </c>
      <c r="J117" s="21">
        <v>1.9285714285714288</v>
      </c>
    </row>
    <row r="118" spans="9:10" x14ac:dyDescent="0.3">
      <c r="I118" s="24">
        <v>83</v>
      </c>
      <c r="J118" s="21">
        <v>1.8916666666666668</v>
      </c>
    </row>
    <row r="119" spans="9:10" x14ac:dyDescent="0.3">
      <c r="I119" s="24">
        <v>84</v>
      </c>
      <c r="J119" s="21">
        <v>1.3538461538461539</v>
      </c>
    </row>
    <row r="120" spans="9:10" x14ac:dyDescent="0.3">
      <c r="I120" s="24">
        <v>85</v>
      </c>
      <c r="J120" s="21">
        <v>1.9999999999999998</v>
      </c>
    </row>
    <row r="121" spans="9:10" x14ac:dyDescent="0.3">
      <c r="I121" s="24">
        <v>86</v>
      </c>
      <c r="J121" s="21">
        <v>2.0812499999999998</v>
      </c>
    </row>
    <row r="122" spans="9:10" x14ac:dyDescent="0.3">
      <c r="I122" s="24">
        <v>87</v>
      </c>
      <c r="J122" s="21">
        <v>1.9333333333333333</v>
      </c>
    </row>
    <row r="123" spans="9:10" x14ac:dyDescent="0.3">
      <c r="I123" s="24">
        <v>88</v>
      </c>
      <c r="J123" s="21">
        <v>2.0749999999999997</v>
      </c>
    </row>
    <row r="124" spans="9:10" x14ac:dyDescent="0.3">
      <c r="I124" s="24">
        <v>89</v>
      </c>
      <c r="J124" s="21">
        <v>2.3333333333333335</v>
      </c>
    </row>
    <row r="125" spans="9:10" x14ac:dyDescent="0.3">
      <c r="I125" s="24">
        <v>90</v>
      </c>
      <c r="J125" s="21">
        <v>1.8571428571428572</v>
      </c>
    </row>
    <row r="126" spans="9:10" x14ac:dyDescent="0.3">
      <c r="I126" s="24">
        <v>91</v>
      </c>
      <c r="J126" s="21">
        <v>2.372727272727273</v>
      </c>
    </row>
    <row r="127" spans="9:10" x14ac:dyDescent="0.3">
      <c r="I127" s="24">
        <v>92</v>
      </c>
      <c r="J127" s="21">
        <v>1.7600000000000002</v>
      </c>
    </row>
    <row r="128" spans="9:10" x14ac:dyDescent="0.3">
      <c r="I128" s="24">
        <v>93</v>
      </c>
      <c r="J128" s="21">
        <v>3.3</v>
      </c>
    </row>
    <row r="129" spans="9:10" x14ac:dyDescent="0.3">
      <c r="I129" s="24">
        <v>94</v>
      </c>
      <c r="J129" s="21">
        <v>1.8499999999999999</v>
      </c>
    </row>
    <row r="130" spans="9:10" x14ac:dyDescent="0.3">
      <c r="I130" s="24">
        <v>95</v>
      </c>
      <c r="J130" s="21">
        <v>2.9166666666666665</v>
      </c>
    </row>
    <row r="131" spans="9:10" x14ac:dyDescent="0.3">
      <c r="I131" s="24">
        <v>96</v>
      </c>
      <c r="J131" s="21">
        <v>0.9</v>
      </c>
    </row>
    <row r="132" spans="9:10" x14ac:dyDescent="0.3">
      <c r="I132" s="24">
        <v>97</v>
      </c>
      <c r="J132" s="21">
        <v>2.5</v>
      </c>
    </row>
    <row r="133" spans="9:10" x14ac:dyDescent="0.3">
      <c r="I133" s="24">
        <v>99</v>
      </c>
      <c r="J133" s="21">
        <v>3.8</v>
      </c>
    </row>
    <row r="134" spans="9:10" x14ac:dyDescent="0.3">
      <c r="I134" s="24">
        <v>100</v>
      </c>
      <c r="J134" s="21">
        <v>3</v>
      </c>
    </row>
    <row r="135" spans="9:10" x14ac:dyDescent="0.3">
      <c r="I135" s="24" t="s">
        <v>475</v>
      </c>
      <c r="J135" s="21">
        <v>2.0596666666666654</v>
      </c>
    </row>
  </sheetData>
  <mergeCells count="11">
    <mergeCell ref="A1:L2"/>
    <mergeCell ref="I76:J76"/>
    <mergeCell ref="I91:J91"/>
    <mergeCell ref="A14:D14"/>
    <mergeCell ref="A26:D26"/>
    <mergeCell ref="A61:B61"/>
    <mergeCell ref="D61:E61"/>
    <mergeCell ref="G61:H61"/>
    <mergeCell ref="A76:C76"/>
    <mergeCell ref="E76:F76"/>
    <mergeCell ref="A3:L3"/>
  </mergeCells>
  <phoneticPr fontId="2" type="noConversion"/>
  <pageMargins left="0.7" right="0.7" top="0.75" bottom="0.75" header="0.3" footer="0.3"/>
  <pageSetup paperSize="9" orientation="portrait" r:id="rId11"/>
  <drawing r:id="rId1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4AFC6-2D54-413A-B560-A1C7DD090AA5}">
  <sheetPr codeName="Sheet3">
    <tabColor rgb="FF00CC66"/>
  </sheetPr>
  <dimension ref="A1:AW201"/>
  <sheetViews>
    <sheetView showGridLines="0" zoomScale="75" zoomScaleNormal="75" workbookViewId="0">
      <pane ySplit="11" topLeftCell="A96" activePane="bottomLeft" state="frozen"/>
      <selection pane="bottomLeft" activeCell="B102" sqref="B102"/>
    </sheetView>
  </sheetViews>
  <sheetFormatPr defaultRowHeight="14.4" x14ac:dyDescent="0.3"/>
  <cols>
    <col min="1" max="11" width="19.5546875" style="39" customWidth="1"/>
    <col min="12" max="12" width="20.109375" style="39" bestFit="1" customWidth="1"/>
    <col min="13" max="14" width="19.5546875" style="39" customWidth="1"/>
    <col min="15" max="32" width="8.88671875" style="39"/>
    <col min="33" max="33" width="8.88671875" style="39" customWidth="1"/>
    <col min="34" max="37" width="8.88671875" style="39"/>
    <col min="38" max="38" width="16" style="39" bestFit="1" customWidth="1"/>
    <col min="39" max="16384" width="8.88671875" style="39"/>
  </cols>
  <sheetData>
    <row r="1" spans="1:47" ht="22.8" customHeight="1" x14ac:dyDescent="0.3">
      <c r="A1" s="89"/>
      <c r="B1" s="135" t="s">
        <v>566</v>
      </c>
      <c r="C1" s="135"/>
      <c r="D1" s="135"/>
      <c r="E1" s="135"/>
      <c r="F1" s="135"/>
      <c r="G1" s="135"/>
      <c r="H1" s="135"/>
      <c r="I1" s="135"/>
      <c r="J1" s="135"/>
      <c r="K1" s="89"/>
      <c r="L1" s="89"/>
      <c r="M1" s="89"/>
      <c r="N1" s="114"/>
      <c r="O1" s="74"/>
      <c r="P1" s="74"/>
      <c r="Q1" s="74"/>
      <c r="R1" s="74"/>
      <c r="S1" s="74"/>
      <c r="T1" s="74"/>
      <c r="U1" s="74"/>
      <c r="V1" s="74"/>
      <c r="W1" s="74"/>
      <c r="X1" s="74"/>
      <c r="Y1" s="74"/>
      <c r="AB1" s="39">
        <f>COUNTA(tblStudents[Student_ID])</f>
        <v>15</v>
      </c>
      <c r="AC1" s="39">
        <f>SUM(tblStudyData[Actual_Study_Hours])</f>
        <v>620.59999999999945</v>
      </c>
      <c r="AD1" s="49">
        <f>AVERAGE(tblStudyData[Test_Score])</f>
        <v>80.473333333333329</v>
      </c>
      <c r="AE1" s="69">
        <f>AVERAGE(tblStudyData[Attendance_Percentage])</f>
        <v>0.8973666666666672</v>
      </c>
    </row>
    <row r="2" spans="1:47" ht="22.8" customHeight="1" x14ac:dyDescent="0.3">
      <c r="A2" s="89"/>
      <c r="B2" s="135"/>
      <c r="C2" s="135"/>
      <c r="D2" s="135"/>
      <c r="E2" s="135"/>
      <c r="F2" s="135"/>
      <c r="G2" s="135"/>
      <c r="H2" s="135"/>
      <c r="I2" s="135"/>
      <c r="J2" s="135"/>
      <c r="K2" s="89" t="s">
        <v>567</v>
      </c>
      <c r="L2" s="89"/>
      <c r="M2" s="89"/>
      <c r="N2" s="114"/>
      <c r="O2" s="74"/>
      <c r="P2" s="74"/>
      <c r="Q2" s="74"/>
      <c r="R2" s="74"/>
      <c r="S2" s="74"/>
      <c r="T2" s="74"/>
      <c r="U2" s="74"/>
      <c r="V2" s="74"/>
      <c r="W2" s="74"/>
      <c r="X2" s="74"/>
      <c r="Y2" s="74"/>
      <c r="AD2" s="49"/>
      <c r="AE2" s="69"/>
      <c r="AL2" s="39" t="str">
        <f>"FILTERED: " &amp; M4 &amp;   "|"  &amp; M5 &amp;  "|Week:" &amp;M6</f>
        <v>FILTERED: Kavya|Biology|Week:31</v>
      </c>
      <c r="AU2" s="39" t="s">
        <v>566</v>
      </c>
    </row>
    <row r="3" spans="1:47" ht="22.8" customHeight="1" x14ac:dyDescent="0.3">
      <c r="A3" s="89"/>
      <c r="B3" s="135"/>
      <c r="C3" s="135"/>
      <c r="D3" s="135"/>
      <c r="E3" s="135"/>
      <c r="F3" s="135"/>
      <c r="G3" s="135"/>
      <c r="H3" s="135"/>
      <c r="I3" s="135"/>
      <c r="J3" s="135"/>
      <c r="K3" s="89"/>
      <c r="L3" s="89"/>
      <c r="M3" s="89"/>
      <c r="N3" s="115"/>
      <c r="O3" s="74"/>
      <c r="P3" s="74"/>
      <c r="Q3" s="74"/>
      <c r="R3" s="74"/>
      <c r="S3" s="74"/>
      <c r="T3" s="74"/>
      <c r="U3" s="74"/>
      <c r="V3" s="74"/>
      <c r="W3" s="74"/>
      <c r="X3" s="74"/>
      <c r="Y3" s="74"/>
      <c r="AB3" s="69">
        <f>COUNTIFS(tblStudyData[Assignment_Given],"Yes",tblStudyData[Assignment_Completed],"Yes")/COUNTIF(tblStudyData[Assignment_Given],"Yes")</f>
        <v>0.96283783783783783</v>
      </c>
      <c r="AC3" s="39" cm="1">
        <f t="array" ref="AC3">COUNTA(_xlfn.UNIQUE(_xlfn._xlws.FILTER(tblStudyData[Student_ID],(tblStudyData[Test_Score]&lt;40)+(tblStudyData[Attendance_Percentage]&lt;75))))</f>
        <v>15</v>
      </c>
      <c r="AD3" s="39" t="str">
        <f>'03_Calculations'!B13</f>
        <v>Naveen</v>
      </c>
      <c r="AE3" s="39" t="str">
        <f>'03_Calculations'!B14</f>
        <v>English</v>
      </c>
    </row>
    <row r="4" spans="1:47" ht="37.200000000000003" customHeight="1" x14ac:dyDescent="0.3">
      <c r="A4" s="72"/>
      <c r="B4" s="72" t="s">
        <v>552</v>
      </c>
      <c r="C4" s="72"/>
      <c r="D4" s="72"/>
      <c r="E4" s="72"/>
      <c r="F4" s="72"/>
      <c r="G4" s="72"/>
      <c r="H4" s="72"/>
      <c r="I4" s="72"/>
      <c r="J4" s="72"/>
      <c r="K4" s="72"/>
      <c r="L4" s="72"/>
      <c r="M4" s="87" t="str">
        <f>'04_Pivot'!F33</f>
        <v>Kavya</v>
      </c>
      <c r="N4" s="72" t="s">
        <v>554</v>
      </c>
      <c r="AB4" s="39">
        <f>'07_Chart_Data'!AD3</f>
        <v>3</v>
      </c>
      <c r="AC4" s="49">
        <f>'07_Chart_Data'!$AD$4</f>
        <v>69</v>
      </c>
      <c r="AD4" s="69">
        <f>'07_Chart_Data'!$AD$5/100</f>
        <v>0.69</v>
      </c>
      <c r="AE4" s="61">
        <f>'07_Chart_Data'!$AD$6/100</f>
        <v>0.69</v>
      </c>
      <c r="AL4" s="88">
        <f ca="1">NOW()</f>
        <v>46314.589971643516</v>
      </c>
    </row>
    <row r="5" spans="1:47" s="84" customFormat="1" ht="37.200000000000003" customHeight="1" x14ac:dyDescent="0.3">
      <c r="A5" s="72"/>
      <c r="B5" s="72"/>
      <c r="C5" s="72"/>
      <c r="D5" s="72"/>
      <c r="E5" s="72"/>
      <c r="F5" s="72"/>
      <c r="G5" s="72"/>
      <c r="H5" s="72"/>
      <c r="I5" s="72"/>
      <c r="J5" s="72"/>
      <c r="K5" s="72"/>
      <c r="L5" s="72"/>
      <c r="M5" s="87" t="str">
        <f>'04_Pivot'!F34</f>
        <v>Biology</v>
      </c>
      <c r="N5" s="72"/>
      <c r="Q5" s="84" t="s">
        <v>570</v>
      </c>
    </row>
    <row r="6" spans="1:47" s="84" customFormat="1" ht="37.200000000000003" customHeight="1" x14ac:dyDescent="0.3">
      <c r="A6" s="72"/>
      <c r="B6" s="72"/>
      <c r="C6" s="72"/>
      <c r="D6" s="72"/>
      <c r="E6" s="72"/>
      <c r="F6" s="72"/>
      <c r="G6" s="72"/>
      <c r="H6" s="72"/>
      <c r="I6" s="72"/>
      <c r="J6" s="72"/>
      <c r="K6" s="72"/>
      <c r="L6" s="72"/>
      <c r="M6" s="87">
        <f>'04_Pivot'!F35</f>
        <v>31</v>
      </c>
      <c r="N6" s="72"/>
    </row>
    <row r="7" spans="1:47" ht="28.2" customHeight="1" x14ac:dyDescent="0.3">
      <c r="A7" s="72"/>
      <c r="B7" s="136" t="s">
        <v>569</v>
      </c>
      <c r="C7" s="136"/>
      <c r="D7" s="136"/>
      <c r="E7" s="136"/>
      <c r="F7" s="51"/>
      <c r="G7" s="137" t="s">
        <v>571</v>
      </c>
      <c r="H7" s="137"/>
      <c r="I7" s="137"/>
      <c r="J7" s="51"/>
      <c r="K7" s="110" t="s">
        <v>568</v>
      </c>
      <c r="L7" s="110"/>
      <c r="M7" s="110"/>
      <c r="N7" s="51"/>
      <c r="X7" s="84"/>
    </row>
    <row r="8" spans="1:47" s="84" customFormat="1" ht="30.15" customHeight="1" x14ac:dyDescent="0.3">
      <c r="A8" s="75"/>
      <c r="B8" s="75"/>
      <c r="C8" s="75"/>
      <c r="D8" s="75"/>
      <c r="E8" s="75"/>
      <c r="F8" s="75"/>
      <c r="G8" s="75"/>
      <c r="H8" s="75"/>
      <c r="I8" s="75"/>
      <c r="J8" s="75"/>
      <c r="K8" s="75"/>
      <c r="L8" s="75"/>
      <c r="M8" s="75"/>
      <c r="N8" s="75"/>
    </row>
    <row r="9" spans="1:47" ht="30.15" customHeight="1" x14ac:dyDescent="0.3">
      <c r="A9" s="75"/>
      <c r="B9" s="75"/>
      <c r="C9" s="75"/>
      <c r="D9" s="75"/>
      <c r="E9" s="75"/>
      <c r="F9" s="75"/>
      <c r="G9" s="75"/>
      <c r="H9" s="75"/>
      <c r="I9" s="75"/>
      <c r="J9" s="75"/>
      <c r="K9" s="75"/>
      <c r="L9" s="75"/>
      <c r="M9" s="75"/>
      <c r="N9" s="75"/>
    </row>
    <row r="10" spans="1:47" ht="43.2" customHeight="1" x14ac:dyDescent="0.3">
      <c r="A10" s="75"/>
      <c r="B10" s="75"/>
      <c r="C10" s="75"/>
      <c r="D10" s="75"/>
      <c r="E10" s="75"/>
      <c r="F10" s="75"/>
      <c r="G10" s="75"/>
      <c r="H10" s="75"/>
      <c r="I10" s="75"/>
      <c r="J10" s="75"/>
      <c r="K10" s="75"/>
      <c r="L10" s="75"/>
      <c r="M10" s="75"/>
      <c r="N10" s="75"/>
    </row>
    <row r="11" spans="1:47" ht="13.2" customHeight="1" thickBot="1" x14ac:dyDescent="0.35">
      <c r="A11" s="72"/>
      <c r="B11" s="51"/>
      <c r="C11" s="51"/>
      <c r="D11" s="51"/>
      <c r="E11" s="51"/>
      <c r="F11" s="51"/>
      <c r="G11" s="51"/>
      <c r="H11" s="51"/>
      <c r="I11" s="51"/>
      <c r="J11" s="51"/>
      <c r="K11" s="51"/>
      <c r="L11" s="51"/>
      <c r="M11" s="51"/>
      <c r="N11" s="75"/>
    </row>
    <row r="12" spans="1:47" ht="13.2" customHeight="1" x14ac:dyDescent="0.3">
      <c r="A12" s="72"/>
      <c r="B12" s="111" t="s">
        <v>511</v>
      </c>
      <c r="C12" s="112"/>
      <c r="D12" s="113"/>
      <c r="E12" s="111" t="s">
        <v>512</v>
      </c>
      <c r="F12" s="131"/>
      <c r="G12" s="131"/>
      <c r="H12" s="111" t="s">
        <v>513</v>
      </c>
      <c r="I12" s="131"/>
      <c r="J12" s="131"/>
      <c r="K12" s="111" t="s">
        <v>514</v>
      </c>
      <c r="L12" s="124"/>
      <c r="M12" s="125"/>
      <c r="N12" s="75"/>
    </row>
    <row r="13" spans="1:47" ht="15.6" customHeight="1" x14ac:dyDescent="0.3">
      <c r="A13" s="72"/>
      <c r="B13" s="82"/>
      <c r="C13" s="78"/>
      <c r="D13" s="83"/>
      <c r="E13" s="82"/>
      <c r="F13" s="79"/>
      <c r="G13" s="79"/>
      <c r="H13" s="82"/>
      <c r="I13" s="79"/>
      <c r="J13" s="79"/>
      <c r="K13" s="82"/>
      <c r="L13" s="79"/>
      <c r="M13" s="80"/>
      <c r="N13" s="75"/>
    </row>
    <row r="14" spans="1:47" ht="16.05" customHeight="1" x14ac:dyDescent="0.3">
      <c r="A14" s="72"/>
      <c r="B14" s="132">
        <f>COUNTA(tblStudents[Student_ID])</f>
        <v>15</v>
      </c>
      <c r="C14" s="117"/>
      <c r="D14" s="139"/>
      <c r="E14" s="132">
        <f>SUM(tblStudyData[Actual_Study_Hours])</f>
        <v>620.59999999999945</v>
      </c>
      <c r="F14" s="117"/>
      <c r="G14" s="117"/>
      <c r="H14" s="120">
        <f>AVERAGE(tblStudyData[Test_Score])</f>
        <v>80.473333333333329</v>
      </c>
      <c r="I14" s="121"/>
      <c r="J14" s="121"/>
      <c r="K14" s="126">
        <f>AVERAGE(tblStudyData[Attendance_Percentage])</f>
        <v>0.8973666666666672</v>
      </c>
      <c r="L14" s="119"/>
      <c r="M14" s="127"/>
      <c r="N14" s="75"/>
    </row>
    <row r="15" spans="1:47" ht="16.05" customHeight="1" thickBot="1" x14ac:dyDescent="0.35">
      <c r="A15" s="72"/>
      <c r="B15" s="133"/>
      <c r="C15" s="134"/>
      <c r="D15" s="140"/>
      <c r="E15" s="133"/>
      <c r="F15" s="134"/>
      <c r="G15" s="134"/>
      <c r="H15" s="122"/>
      <c r="I15" s="123"/>
      <c r="J15" s="123"/>
      <c r="K15" s="128"/>
      <c r="L15" s="129"/>
      <c r="M15" s="130"/>
      <c r="N15" s="75"/>
    </row>
    <row r="16" spans="1:47" ht="16.05" customHeight="1" x14ac:dyDescent="0.3">
      <c r="A16" s="72"/>
      <c r="B16" s="90"/>
      <c r="C16" s="90"/>
      <c r="D16" s="90"/>
      <c r="E16" s="90"/>
      <c r="F16" s="90"/>
      <c r="G16" s="90"/>
      <c r="H16" s="92"/>
      <c r="I16" s="92"/>
      <c r="J16" s="92"/>
      <c r="K16" s="91"/>
      <c r="L16" s="91"/>
      <c r="M16" s="91"/>
      <c r="N16" s="75"/>
    </row>
    <row r="17" spans="1:49" ht="20.399999999999999" customHeight="1" x14ac:dyDescent="0.35">
      <c r="A17" s="72"/>
      <c r="B17" s="52"/>
      <c r="C17" s="51"/>
      <c r="D17" s="51"/>
      <c r="E17" s="51"/>
      <c r="F17" s="51"/>
      <c r="G17" s="51"/>
      <c r="H17" s="81"/>
      <c r="I17" s="51"/>
      <c r="J17" s="51"/>
      <c r="K17" s="51"/>
      <c r="L17" s="51"/>
      <c r="M17" s="51"/>
      <c r="N17" s="75"/>
      <c r="P17" s="49"/>
      <c r="AL17"/>
      <c r="AM17"/>
    </row>
    <row r="18" spans="1:49" s="66" customFormat="1" ht="20.399999999999999" customHeight="1" x14ac:dyDescent="0.3">
      <c r="A18" s="72"/>
      <c r="B18" s="119">
        <f>COUNTIFS(tblStudyData[Assignment_Given],"Yes",tblStudyData[Assignment_Completed],"Yes")/COUNTIF(tblStudyData[Assignment_Given],"Yes")</f>
        <v>0.96283783783783783</v>
      </c>
      <c r="C18" s="119"/>
      <c r="D18" s="119"/>
      <c r="E18" s="117" cm="1">
        <f t="array" ref="E18">COUNTA(_xlfn.UNIQUE(_xlfn._xlws.FILTER(tblStudyData[Student_ID],(tblStudyData[Test_Score]&lt;40)+(tblStudyData[Attendance_Percentage]&lt;75))))</f>
        <v>15</v>
      </c>
      <c r="F18" s="117"/>
      <c r="G18" s="117"/>
      <c r="H18" s="117" t="str">
        <f>'03_Calculations'!B13</f>
        <v>Naveen</v>
      </c>
      <c r="I18" s="117"/>
      <c r="J18" s="117"/>
      <c r="K18" s="117" t="str">
        <f>'03_Calculations'!B14</f>
        <v>English</v>
      </c>
      <c r="L18" s="117"/>
      <c r="M18" s="117"/>
      <c r="N18" s="75"/>
      <c r="P18" s="73"/>
      <c r="AL18"/>
      <c r="AM18"/>
    </row>
    <row r="19" spans="1:49" s="66" customFormat="1" ht="20.399999999999999" customHeight="1" x14ac:dyDescent="0.3">
      <c r="A19" s="72"/>
      <c r="B19" s="119"/>
      <c r="C19" s="119"/>
      <c r="D19" s="119"/>
      <c r="E19" s="117"/>
      <c r="F19" s="117"/>
      <c r="G19" s="117"/>
      <c r="H19" s="117"/>
      <c r="I19" s="117"/>
      <c r="J19" s="117"/>
      <c r="K19" s="117"/>
      <c r="L19" s="117"/>
      <c r="M19" s="117"/>
      <c r="N19" s="75"/>
      <c r="P19" s="73"/>
      <c r="AL19"/>
      <c r="AM19"/>
    </row>
    <row r="20" spans="1:49" ht="16.05" customHeight="1" x14ac:dyDescent="0.3">
      <c r="A20" s="72"/>
      <c r="B20" s="53"/>
      <c r="C20" s="53"/>
      <c r="D20" s="53"/>
      <c r="E20" s="54"/>
      <c r="F20" s="54"/>
      <c r="G20" s="54"/>
      <c r="H20" s="54"/>
      <c r="I20" s="54"/>
      <c r="J20" s="54"/>
      <c r="K20" s="54"/>
      <c r="L20" s="54"/>
      <c r="M20" s="54"/>
      <c r="N20" s="75"/>
      <c r="P20" s="49"/>
      <c r="AW20" s="39">
        <f>$AU$7</f>
        <v>0</v>
      </c>
    </row>
    <row r="21" spans="1:49" ht="16.2" customHeight="1" x14ac:dyDescent="0.3">
      <c r="A21" s="72"/>
      <c r="B21" s="71"/>
      <c r="C21" s="71"/>
      <c r="D21" s="71"/>
      <c r="E21" s="70"/>
      <c r="F21" s="70"/>
      <c r="G21" s="70"/>
      <c r="H21" s="70"/>
      <c r="I21" s="70"/>
      <c r="J21" s="70"/>
      <c r="K21" s="70"/>
      <c r="L21" s="70"/>
      <c r="M21" s="70"/>
      <c r="N21" s="75"/>
      <c r="P21" s="49"/>
    </row>
    <row r="22" spans="1:49" s="66" customFormat="1" ht="16.05" customHeight="1" x14ac:dyDescent="0.3">
      <c r="A22" s="72"/>
      <c r="B22" s="116" t="s">
        <v>556</v>
      </c>
      <c r="C22" s="116"/>
      <c r="D22" s="116"/>
      <c r="E22" s="116" t="s">
        <v>513</v>
      </c>
      <c r="F22" s="116"/>
      <c r="G22" s="116"/>
      <c r="H22" s="116" t="s">
        <v>557</v>
      </c>
      <c r="I22" s="116"/>
      <c r="J22" s="116"/>
      <c r="K22" s="116" t="s">
        <v>515</v>
      </c>
      <c r="L22" s="116"/>
      <c r="M22" s="116"/>
      <c r="N22" s="75"/>
      <c r="P22" s="73"/>
    </row>
    <row r="23" spans="1:49" s="66" customFormat="1" ht="16.05" customHeight="1" x14ac:dyDescent="0.3">
      <c r="A23" s="72"/>
      <c r="B23" s="78"/>
      <c r="C23" s="78"/>
      <c r="D23" s="78"/>
      <c r="E23" s="78"/>
      <c r="F23" s="78"/>
      <c r="G23" s="78"/>
      <c r="H23" s="78"/>
      <c r="I23" s="78"/>
      <c r="J23" s="78"/>
      <c r="K23" s="78"/>
      <c r="L23" s="78"/>
      <c r="M23" s="78"/>
      <c r="N23" s="75"/>
      <c r="P23" s="73"/>
    </row>
    <row r="24" spans="1:49" s="66" customFormat="1" ht="16.05" customHeight="1" x14ac:dyDescent="0.3">
      <c r="A24" s="72"/>
      <c r="B24" s="117">
        <f>'07_Chart_Data'!$AD$3</f>
        <v>3</v>
      </c>
      <c r="C24" s="117"/>
      <c r="D24" s="117"/>
      <c r="E24" s="118">
        <f>'07_Chart_Data'!AD4</f>
        <v>69</v>
      </c>
      <c r="F24" s="118"/>
      <c r="G24" s="118"/>
      <c r="H24" s="119">
        <f>'07_Chart_Data'!AD5</f>
        <v>69</v>
      </c>
      <c r="I24" s="119"/>
      <c r="J24" s="119"/>
      <c r="K24" s="119">
        <f>'07_Chart_Data'!AD6</f>
        <v>69</v>
      </c>
      <c r="L24" s="119"/>
      <c r="M24" s="119"/>
      <c r="N24" s="75"/>
      <c r="P24" s="73"/>
    </row>
    <row r="25" spans="1:49" s="66" customFormat="1" ht="16.05" customHeight="1" x14ac:dyDescent="0.3">
      <c r="A25" s="72"/>
      <c r="B25" s="117"/>
      <c r="C25" s="117"/>
      <c r="D25" s="117"/>
      <c r="E25" s="118"/>
      <c r="F25" s="118"/>
      <c r="G25" s="118"/>
      <c r="H25" s="119"/>
      <c r="I25" s="119"/>
      <c r="J25" s="119"/>
      <c r="K25" s="119"/>
      <c r="L25" s="119"/>
      <c r="M25" s="119"/>
      <c r="N25" s="75"/>
      <c r="P25" s="73"/>
    </row>
    <row r="26" spans="1:49" ht="25.05" customHeight="1" x14ac:dyDescent="0.3">
      <c r="A26" s="72"/>
      <c r="B26" s="51"/>
      <c r="C26" s="51"/>
      <c r="D26" s="51"/>
      <c r="E26" s="51"/>
      <c r="F26" s="51"/>
      <c r="G26" s="51"/>
      <c r="H26" s="51"/>
      <c r="I26" s="51"/>
      <c r="J26" s="51"/>
      <c r="K26" s="51"/>
      <c r="L26" s="51"/>
      <c r="M26" s="51"/>
      <c r="N26" s="75"/>
      <c r="P26" s="49"/>
    </row>
    <row r="27" spans="1:49" ht="25.05" customHeight="1" x14ac:dyDescent="0.3">
      <c r="A27" s="72"/>
      <c r="B27" s="107"/>
      <c r="C27" s="107"/>
      <c r="D27" s="107"/>
      <c r="E27" s="107"/>
      <c r="F27" s="51"/>
      <c r="G27" s="51"/>
      <c r="H27" s="51"/>
      <c r="I27" s="51"/>
      <c r="J27" s="51"/>
      <c r="K27" s="51"/>
      <c r="L27" s="51"/>
      <c r="M27" s="51"/>
      <c r="N27" s="75"/>
      <c r="P27" s="49"/>
    </row>
    <row r="28" spans="1:49" ht="25.05" customHeight="1" x14ac:dyDescent="0.3">
      <c r="A28" s="72"/>
      <c r="B28" s="55"/>
      <c r="C28" s="55"/>
      <c r="D28" s="55"/>
      <c r="E28" s="55"/>
      <c r="F28" s="51"/>
      <c r="G28" s="51"/>
      <c r="H28" s="51"/>
      <c r="I28" s="107"/>
      <c r="J28" s="107"/>
      <c r="K28" s="51"/>
      <c r="L28" s="51"/>
      <c r="M28" s="51"/>
      <c r="N28" s="75"/>
    </row>
    <row r="29" spans="1:49" ht="25.05" customHeight="1" x14ac:dyDescent="0.3">
      <c r="A29" s="72"/>
      <c r="B29" s="56"/>
      <c r="C29" s="56"/>
      <c r="D29" s="57"/>
      <c r="E29" s="58"/>
      <c r="F29" s="51"/>
      <c r="G29" s="51"/>
      <c r="H29" s="51"/>
      <c r="I29" s="55"/>
      <c r="J29" s="55"/>
      <c r="K29" s="51"/>
      <c r="L29" s="51"/>
      <c r="M29" s="51"/>
      <c r="N29" s="75"/>
    </row>
    <row r="30" spans="1:49" ht="25.05" customHeight="1" x14ac:dyDescent="0.3">
      <c r="A30" s="72"/>
      <c r="B30" s="56"/>
      <c r="C30" s="56"/>
      <c r="D30" s="57"/>
      <c r="E30" s="58"/>
      <c r="F30" s="51"/>
      <c r="G30" s="51"/>
      <c r="H30" s="51"/>
      <c r="I30" s="56"/>
      <c r="J30" s="59"/>
      <c r="K30" s="51"/>
      <c r="L30" s="51"/>
      <c r="M30" s="51"/>
      <c r="N30" s="75"/>
    </row>
    <row r="31" spans="1:49" ht="25.05" customHeight="1" x14ac:dyDescent="0.3">
      <c r="A31" s="72"/>
      <c r="B31" s="56"/>
      <c r="C31" s="56"/>
      <c r="D31" s="57"/>
      <c r="E31" s="58"/>
      <c r="F31" s="51"/>
      <c r="G31" s="51"/>
      <c r="H31" s="51"/>
      <c r="I31" s="56"/>
      <c r="J31" s="59"/>
      <c r="K31" s="51"/>
      <c r="L31" s="51"/>
      <c r="M31" s="51"/>
      <c r="N31" s="75"/>
    </row>
    <row r="32" spans="1:49" ht="25.05" customHeight="1" x14ac:dyDescent="0.3">
      <c r="A32" s="72"/>
      <c r="B32" s="56"/>
      <c r="C32" s="56"/>
      <c r="D32" s="57"/>
      <c r="E32" s="58"/>
      <c r="F32" s="51"/>
      <c r="G32" s="51"/>
      <c r="H32" s="51"/>
      <c r="I32" s="56"/>
      <c r="J32" s="59"/>
      <c r="K32" s="51"/>
      <c r="L32" s="51"/>
      <c r="M32" s="51"/>
      <c r="N32" s="75"/>
    </row>
    <row r="33" spans="1:14" ht="25.05" customHeight="1" x14ac:dyDescent="0.3">
      <c r="A33" s="72"/>
      <c r="B33" s="56"/>
      <c r="C33" s="56"/>
      <c r="D33" s="57"/>
      <c r="E33" s="58"/>
      <c r="F33" s="51"/>
      <c r="G33" s="51"/>
      <c r="H33" s="51"/>
      <c r="I33" s="56"/>
      <c r="J33" s="59"/>
      <c r="K33" s="51"/>
      <c r="L33" s="51"/>
      <c r="M33" s="51"/>
      <c r="N33" s="75"/>
    </row>
    <row r="34" spans="1:14" ht="25.05" customHeight="1" x14ac:dyDescent="0.3">
      <c r="A34" s="72"/>
      <c r="B34" s="56"/>
      <c r="C34" s="56"/>
      <c r="D34" s="57"/>
      <c r="E34" s="58"/>
      <c r="F34" s="51"/>
      <c r="G34" s="51"/>
      <c r="H34" s="51"/>
      <c r="I34" s="56"/>
      <c r="J34" s="59"/>
      <c r="K34" s="51"/>
      <c r="L34" s="51"/>
      <c r="M34" s="51"/>
      <c r="N34" s="75"/>
    </row>
    <row r="35" spans="1:14" ht="25.05" customHeight="1" x14ac:dyDescent="0.3">
      <c r="A35" s="72"/>
      <c r="B35" s="51"/>
      <c r="C35" s="51"/>
      <c r="D35" s="51"/>
      <c r="E35" s="51"/>
      <c r="F35" s="51"/>
      <c r="G35" s="51"/>
      <c r="H35" s="51"/>
      <c r="I35" s="51"/>
      <c r="J35" s="51"/>
      <c r="K35" s="51"/>
      <c r="L35" s="51"/>
      <c r="M35" s="51"/>
      <c r="N35" s="75"/>
    </row>
    <row r="36" spans="1:14" ht="25.05" customHeight="1" x14ac:dyDescent="0.3">
      <c r="A36" s="72"/>
      <c r="B36" s="51"/>
      <c r="C36" s="51"/>
      <c r="D36" s="51"/>
      <c r="E36" s="51"/>
      <c r="F36" s="51"/>
      <c r="G36" s="51"/>
      <c r="H36" s="51"/>
      <c r="I36" s="51"/>
      <c r="J36" s="51"/>
      <c r="K36" s="51"/>
      <c r="L36" s="51"/>
      <c r="M36" s="51"/>
      <c r="N36" s="75"/>
    </row>
    <row r="37" spans="1:14" ht="25.05" customHeight="1" x14ac:dyDescent="0.3">
      <c r="A37" s="72"/>
      <c r="B37" s="51"/>
      <c r="C37" s="51"/>
      <c r="D37" s="51"/>
      <c r="E37" s="51"/>
      <c r="F37" s="51"/>
      <c r="G37" s="51"/>
      <c r="H37" s="51"/>
      <c r="I37" s="51"/>
      <c r="J37" s="51"/>
      <c r="K37" s="51"/>
      <c r="L37" s="51"/>
      <c r="M37" s="51"/>
      <c r="N37" s="75"/>
    </row>
    <row r="38" spans="1:14" ht="25.05" customHeight="1" x14ac:dyDescent="0.3">
      <c r="A38" s="72"/>
      <c r="B38" s="51"/>
      <c r="C38" s="51"/>
      <c r="D38" s="51"/>
      <c r="E38" s="51"/>
      <c r="F38" s="51"/>
      <c r="G38" s="51"/>
      <c r="H38" s="51"/>
      <c r="I38" s="51"/>
      <c r="J38" s="51"/>
      <c r="K38" s="51"/>
      <c r="L38" s="51"/>
      <c r="M38" s="51"/>
      <c r="N38" s="75"/>
    </row>
    <row r="39" spans="1:14" ht="25.05" customHeight="1" x14ac:dyDescent="0.3">
      <c r="A39" s="72"/>
      <c r="B39" s="51"/>
      <c r="C39" s="51"/>
      <c r="D39" s="51"/>
      <c r="E39" s="51"/>
      <c r="F39" s="51"/>
      <c r="G39" s="51"/>
      <c r="H39" s="51"/>
      <c r="I39" s="51"/>
      <c r="J39" s="51"/>
      <c r="K39" s="51"/>
      <c r="L39" s="51"/>
      <c r="M39" s="51"/>
      <c r="N39" s="75"/>
    </row>
    <row r="40" spans="1:14" ht="25.05" customHeight="1" x14ac:dyDescent="0.3">
      <c r="A40" s="72"/>
      <c r="B40" s="51"/>
      <c r="C40" s="51"/>
      <c r="D40" s="51"/>
      <c r="E40" s="51"/>
      <c r="F40" s="51"/>
      <c r="G40" s="51"/>
      <c r="H40" s="51"/>
      <c r="I40" s="51"/>
      <c r="J40" s="51"/>
      <c r="K40" s="51"/>
      <c r="L40" s="51"/>
      <c r="M40" s="51"/>
      <c r="N40" s="75"/>
    </row>
    <row r="41" spans="1:14" ht="25.05" customHeight="1" x14ac:dyDescent="0.3">
      <c r="A41" s="72"/>
      <c r="B41" s="51"/>
      <c r="C41" s="51"/>
      <c r="D41" s="51"/>
      <c r="E41" s="51"/>
      <c r="F41" s="51"/>
      <c r="G41" s="51"/>
      <c r="H41" s="51"/>
      <c r="I41" s="51"/>
      <c r="J41" s="51"/>
      <c r="K41" s="51"/>
      <c r="L41" s="51"/>
      <c r="M41" s="51"/>
      <c r="N41" s="75"/>
    </row>
    <row r="42" spans="1:14" ht="25.05" customHeight="1" x14ac:dyDescent="0.3">
      <c r="A42" s="72"/>
      <c r="B42" s="51"/>
      <c r="C42" s="51"/>
      <c r="D42" s="51"/>
      <c r="E42" s="51"/>
      <c r="F42" s="51"/>
      <c r="G42" s="51"/>
      <c r="H42" s="51"/>
      <c r="I42" s="51"/>
      <c r="J42" s="51"/>
      <c r="K42" s="51"/>
      <c r="L42" s="51"/>
      <c r="M42" s="51"/>
      <c r="N42" s="75"/>
    </row>
    <row r="43" spans="1:14" ht="25.05" customHeight="1" x14ac:dyDescent="0.3">
      <c r="A43" s="72"/>
      <c r="B43" s="51"/>
      <c r="C43" s="51"/>
      <c r="D43" s="51"/>
      <c r="E43" s="51"/>
      <c r="F43" s="51"/>
      <c r="G43" s="51"/>
      <c r="H43" s="51"/>
      <c r="I43" s="51"/>
      <c r="J43" s="51"/>
      <c r="K43" s="51"/>
      <c r="L43" s="51"/>
      <c r="M43" s="51"/>
      <c r="N43" s="75"/>
    </row>
    <row r="44" spans="1:14" ht="25.05" customHeight="1" x14ac:dyDescent="0.3">
      <c r="A44" s="72"/>
      <c r="B44" s="51"/>
      <c r="C44" s="51"/>
      <c r="D44" s="51"/>
      <c r="E44" s="51"/>
      <c r="F44" s="51"/>
      <c r="G44" s="51"/>
      <c r="H44" s="51"/>
      <c r="I44" s="51"/>
      <c r="J44" s="51"/>
      <c r="K44" s="51"/>
      <c r="L44" s="51"/>
      <c r="M44" s="51"/>
      <c r="N44" s="75"/>
    </row>
    <row r="45" spans="1:14" ht="25.05" customHeight="1" x14ac:dyDescent="0.3">
      <c r="A45" s="72"/>
      <c r="B45" s="51"/>
      <c r="C45" s="51"/>
      <c r="D45" s="51"/>
      <c r="E45" s="51"/>
      <c r="F45" s="51"/>
      <c r="G45" s="51"/>
      <c r="H45" s="51"/>
      <c r="I45" s="51"/>
      <c r="J45" s="51"/>
      <c r="K45" s="51"/>
      <c r="L45" s="51"/>
      <c r="M45" s="51"/>
      <c r="N45" s="75"/>
    </row>
    <row r="46" spans="1:14" ht="25.05" customHeight="1" x14ac:dyDescent="0.3">
      <c r="A46" s="72"/>
      <c r="B46" s="51"/>
      <c r="C46" s="51"/>
      <c r="D46" s="51"/>
      <c r="E46" s="51"/>
      <c r="F46" s="51"/>
      <c r="G46" s="51"/>
      <c r="H46" s="51"/>
      <c r="I46" s="51"/>
      <c r="J46" s="51"/>
      <c r="K46" s="51"/>
      <c r="L46" s="51"/>
      <c r="M46" s="51"/>
      <c r="N46" s="75"/>
    </row>
    <row r="47" spans="1:14" ht="25.05" customHeight="1" x14ac:dyDescent="0.3">
      <c r="A47" s="72"/>
      <c r="B47" s="51"/>
      <c r="C47" s="51"/>
      <c r="D47" s="51"/>
      <c r="E47" s="51"/>
      <c r="F47" s="51"/>
      <c r="G47" s="51"/>
      <c r="H47" s="51"/>
      <c r="I47" s="51"/>
      <c r="J47" s="51"/>
      <c r="K47" s="51"/>
      <c r="L47" s="51"/>
      <c r="M47" s="51"/>
      <c r="N47" s="75"/>
    </row>
    <row r="48" spans="1:14" ht="25.05" customHeight="1" x14ac:dyDescent="0.3">
      <c r="A48" s="72"/>
      <c r="B48" s="51"/>
      <c r="C48" s="51"/>
      <c r="D48" s="51"/>
      <c r="E48" s="51"/>
      <c r="F48" s="51"/>
      <c r="G48" s="51"/>
      <c r="H48" s="51"/>
      <c r="I48" s="51"/>
      <c r="J48" s="51"/>
      <c r="K48" s="51"/>
      <c r="L48" s="51"/>
      <c r="M48" s="51"/>
      <c r="N48" s="75"/>
    </row>
    <row r="49" spans="1:14" ht="25.05" customHeight="1" x14ac:dyDescent="0.3">
      <c r="A49" s="72"/>
      <c r="B49" s="51"/>
      <c r="C49" s="51"/>
      <c r="D49" s="51"/>
      <c r="E49" s="51"/>
      <c r="F49" s="51"/>
      <c r="G49" s="51"/>
      <c r="H49" s="51"/>
      <c r="I49" s="51"/>
      <c r="J49" s="51"/>
      <c r="K49" s="51"/>
      <c r="L49" s="51"/>
      <c r="M49" s="51"/>
      <c r="N49" s="75"/>
    </row>
    <row r="50" spans="1:14" ht="25.05" customHeight="1" x14ac:dyDescent="0.3">
      <c r="A50" s="72"/>
      <c r="B50" s="51"/>
      <c r="C50" s="51"/>
      <c r="D50" s="51"/>
      <c r="E50" s="51"/>
      <c r="F50" s="51"/>
      <c r="G50" s="51"/>
      <c r="H50" s="51"/>
      <c r="I50" s="51"/>
      <c r="J50" s="51"/>
      <c r="K50" s="51"/>
      <c r="L50" s="51"/>
      <c r="M50" s="51"/>
      <c r="N50" s="75"/>
    </row>
    <row r="51" spans="1:14" ht="25.05" customHeight="1" x14ac:dyDescent="0.3">
      <c r="A51" s="72"/>
      <c r="B51" s="51"/>
      <c r="C51" s="51"/>
      <c r="D51" s="51"/>
      <c r="E51" s="51"/>
      <c r="F51" s="51"/>
      <c r="G51" s="51"/>
      <c r="H51" s="51"/>
      <c r="I51" s="51"/>
      <c r="J51" s="51"/>
      <c r="K51" s="51"/>
      <c r="L51" s="51"/>
      <c r="M51" s="51"/>
      <c r="N51" s="75"/>
    </row>
    <row r="52" spans="1:14" ht="25.05" customHeight="1" x14ac:dyDescent="0.3">
      <c r="A52" s="72"/>
      <c r="B52" s="51"/>
      <c r="C52" s="51"/>
      <c r="D52" s="51"/>
      <c r="E52" s="51"/>
      <c r="F52" s="51"/>
      <c r="G52" s="51"/>
      <c r="H52" s="51"/>
      <c r="I52" s="51"/>
      <c r="J52" s="51"/>
      <c r="K52" s="51"/>
      <c r="L52" s="51"/>
      <c r="M52" s="51"/>
      <c r="N52" s="75"/>
    </row>
    <row r="53" spans="1:14" ht="25.05" customHeight="1" x14ac:dyDescent="0.3">
      <c r="A53" s="72"/>
      <c r="B53" s="51"/>
      <c r="C53" s="51"/>
      <c r="D53" s="51"/>
      <c r="E53" s="51"/>
      <c r="F53" s="51"/>
      <c r="G53" s="51"/>
      <c r="H53" s="51"/>
      <c r="I53" s="51"/>
      <c r="J53" s="51"/>
      <c r="K53" s="51"/>
      <c r="L53" s="51"/>
      <c r="M53" s="51"/>
      <c r="N53" s="75"/>
    </row>
    <row r="54" spans="1:14" ht="25.05" customHeight="1" x14ac:dyDescent="0.3">
      <c r="A54" s="72"/>
      <c r="B54" s="138"/>
      <c r="C54" s="138"/>
      <c r="D54" s="51"/>
      <c r="E54" s="107"/>
      <c r="F54" s="107"/>
      <c r="G54" s="107"/>
      <c r="H54" s="51"/>
      <c r="I54" s="107"/>
      <c r="J54" s="107"/>
      <c r="K54" s="107"/>
      <c r="L54" s="51"/>
      <c r="M54" s="51"/>
      <c r="N54" s="75"/>
    </row>
    <row r="55" spans="1:14" ht="25.05" customHeight="1" x14ac:dyDescent="0.3">
      <c r="A55" s="72"/>
      <c r="B55" s="55"/>
      <c r="C55" s="55"/>
      <c r="D55" s="51"/>
      <c r="E55" s="55"/>
      <c r="F55" s="55"/>
      <c r="G55" s="55"/>
      <c r="H55" s="51"/>
      <c r="I55" s="55"/>
      <c r="J55" s="55"/>
      <c r="K55" s="55"/>
      <c r="L55" s="51"/>
      <c r="M55" s="51"/>
      <c r="N55" s="75"/>
    </row>
    <row r="56" spans="1:14" ht="25.05" customHeight="1" x14ac:dyDescent="0.3">
      <c r="A56" s="72"/>
      <c r="B56" s="56"/>
      <c r="C56" s="58"/>
      <c r="D56" s="51"/>
      <c r="E56" s="56"/>
      <c r="F56" s="56"/>
      <c r="G56" s="58"/>
      <c r="H56" s="51"/>
      <c r="I56" s="56"/>
      <c r="J56" s="59"/>
      <c r="K56" s="57"/>
      <c r="L56" s="51"/>
      <c r="M56" s="51"/>
      <c r="N56" s="75"/>
    </row>
    <row r="57" spans="1:14" ht="25.05" customHeight="1" x14ac:dyDescent="0.3">
      <c r="A57" s="72"/>
      <c r="B57" s="56"/>
      <c r="C57" s="58"/>
      <c r="D57" s="51"/>
      <c r="E57" s="56"/>
      <c r="F57" s="56"/>
      <c r="G57" s="58"/>
      <c r="H57" s="51"/>
      <c r="I57" s="56"/>
      <c r="J57" s="59"/>
      <c r="K57" s="57"/>
      <c r="L57" s="51"/>
      <c r="M57" s="51"/>
      <c r="N57" s="75"/>
    </row>
    <row r="58" spans="1:14" ht="25.05" customHeight="1" x14ac:dyDescent="0.3">
      <c r="A58" s="72"/>
      <c r="B58" s="56"/>
      <c r="C58" s="58"/>
      <c r="D58" s="51"/>
      <c r="E58" s="56"/>
      <c r="F58" s="56"/>
      <c r="G58" s="58"/>
      <c r="H58" s="51"/>
      <c r="I58" s="56"/>
      <c r="J58" s="59"/>
      <c r="K58" s="57"/>
      <c r="L58" s="51"/>
      <c r="M58" s="51"/>
      <c r="N58" s="75"/>
    </row>
    <row r="59" spans="1:14" ht="25.05" customHeight="1" x14ac:dyDescent="0.3">
      <c r="A59" s="72"/>
      <c r="B59" s="56"/>
      <c r="C59" s="58"/>
      <c r="D59" s="51"/>
      <c r="E59" s="51"/>
      <c r="F59" s="51"/>
      <c r="G59" s="51"/>
      <c r="H59" s="51"/>
      <c r="I59" s="56"/>
      <c r="J59" s="59"/>
      <c r="K59" s="57"/>
      <c r="L59" s="51"/>
      <c r="M59" s="51"/>
      <c r="N59" s="75"/>
    </row>
    <row r="60" spans="1:14" ht="25.05" customHeight="1" x14ac:dyDescent="0.3">
      <c r="A60" s="72"/>
      <c r="B60" s="56"/>
      <c r="C60" s="58"/>
      <c r="D60" s="51"/>
      <c r="E60" s="51"/>
      <c r="F60" s="51"/>
      <c r="G60" s="51"/>
      <c r="H60" s="51"/>
      <c r="I60" s="51"/>
      <c r="J60" s="51"/>
      <c r="K60" s="51"/>
      <c r="L60" s="51"/>
      <c r="M60" s="51"/>
      <c r="N60" s="75"/>
    </row>
    <row r="61" spans="1:14" ht="25.05" customHeight="1" x14ac:dyDescent="0.3">
      <c r="A61" s="72"/>
      <c r="B61" s="56"/>
      <c r="C61" s="58"/>
      <c r="D61" s="51"/>
      <c r="E61" s="51"/>
      <c r="F61" s="51"/>
      <c r="G61" s="51"/>
      <c r="H61" s="51"/>
      <c r="I61" s="51"/>
      <c r="J61" s="51"/>
      <c r="K61" s="51"/>
      <c r="L61" s="51"/>
      <c r="M61" s="51"/>
      <c r="N61" s="75"/>
    </row>
    <row r="62" spans="1:14" ht="25.05" customHeight="1" x14ac:dyDescent="0.3">
      <c r="A62" s="72"/>
      <c r="B62" s="51"/>
      <c r="C62" s="51"/>
      <c r="D62" s="51"/>
      <c r="E62" s="51"/>
      <c r="F62" s="51"/>
      <c r="G62" s="51"/>
      <c r="H62" s="51"/>
      <c r="I62" s="51"/>
      <c r="J62" s="51"/>
      <c r="K62" s="51"/>
      <c r="L62" s="51"/>
      <c r="M62" s="51"/>
      <c r="N62" s="75"/>
    </row>
    <row r="63" spans="1:14" ht="25.05" customHeight="1" x14ac:dyDescent="0.3">
      <c r="A63" s="72"/>
      <c r="B63" s="51"/>
      <c r="C63" s="51"/>
      <c r="D63" s="51"/>
      <c r="E63" s="51"/>
      <c r="F63" s="51"/>
      <c r="G63" s="51"/>
      <c r="H63" s="51"/>
      <c r="I63" s="51"/>
      <c r="J63" s="51"/>
      <c r="K63" s="51"/>
      <c r="L63" s="51"/>
      <c r="M63" s="51"/>
      <c r="N63" s="75"/>
    </row>
    <row r="64" spans="1:14" ht="25.05" customHeight="1" x14ac:dyDescent="0.3">
      <c r="A64" s="72"/>
      <c r="B64" s="51"/>
      <c r="C64" s="51"/>
      <c r="D64" s="51"/>
      <c r="E64" s="51"/>
      <c r="F64" s="51"/>
      <c r="G64" s="51"/>
      <c r="H64" s="51"/>
      <c r="I64" s="51"/>
      <c r="J64" s="51"/>
      <c r="K64" s="51"/>
      <c r="L64" s="51"/>
      <c r="M64" s="51"/>
      <c r="N64" s="75"/>
    </row>
    <row r="65" spans="1:46" ht="24.6" customHeight="1" x14ac:dyDescent="0.3">
      <c r="A65" s="72"/>
      <c r="B65" s="51"/>
      <c r="C65" s="51"/>
      <c r="D65" s="51"/>
      <c r="E65" s="51"/>
      <c r="F65" s="51"/>
      <c r="G65" s="51"/>
      <c r="H65" s="51"/>
      <c r="I65" s="51"/>
      <c r="J65" s="51"/>
      <c r="K65" s="51"/>
      <c r="L65" s="51"/>
      <c r="M65" s="51"/>
      <c r="N65" s="75"/>
    </row>
    <row r="66" spans="1:46" ht="25.05" customHeight="1" x14ac:dyDescent="0.3">
      <c r="A66" s="72"/>
      <c r="B66" s="51"/>
      <c r="C66" s="51"/>
      <c r="D66" s="51"/>
      <c r="E66" s="51"/>
      <c r="F66" s="51"/>
      <c r="G66" s="51"/>
      <c r="H66" s="51"/>
      <c r="I66" s="51"/>
      <c r="J66" s="51"/>
      <c r="K66" s="51"/>
      <c r="L66" s="51"/>
      <c r="M66" s="51"/>
      <c r="N66" s="75"/>
    </row>
    <row r="67" spans="1:46" ht="25.05" customHeight="1" x14ac:dyDescent="0.3">
      <c r="A67" s="72"/>
      <c r="B67" s="51"/>
      <c r="C67" s="51"/>
      <c r="D67" s="51"/>
      <c r="E67" s="51"/>
      <c r="F67" s="51"/>
      <c r="G67" s="51"/>
      <c r="H67" s="51"/>
      <c r="I67" s="51"/>
      <c r="J67" s="51"/>
      <c r="K67" s="51"/>
      <c r="L67" s="51"/>
      <c r="M67" s="51"/>
      <c r="N67" s="75"/>
    </row>
    <row r="68" spans="1:46" ht="25.05" customHeight="1" x14ac:dyDescent="0.3">
      <c r="A68" s="72"/>
      <c r="B68" s="51"/>
      <c r="C68" s="51"/>
      <c r="D68" s="51"/>
      <c r="E68" s="51"/>
      <c r="F68" s="51"/>
      <c r="G68" s="51"/>
      <c r="H68" s="51"/>
      <c r="I68" s="51"/>
      <c r="J68" s="51"/>
      <c r="K68" s="51"/>
      <c r="L68" s="51"/>
      <c r="M68" s="51"/>
      <c r="N68" s="75"/>
    </row>
    <row r="69" spans="1:46" ht="25.05" customHeight="1" x14ac:dyDescent="0.3">
      <c r="A69" s="72"/>
      <c r="B69" s="51"/>
      <c r="C69" s="51"/>
      <c r="D69" s="51"/>
      <c r="E69" s="51"/>
      <c r="F69" s="51"/>
      <c r="G69" s="51"/>
      <c r="H69" s="51"/>
      <c r="I69" s="51"/>
      <c r="J69" s="51"/>
      <c r="K69" s="51"/>
      <c r="L69" s="51"/>
      <c r="M69" s="51"/>
      <c r="N69" s="75"/>
    </row>
    <row r="70" spans="1:46" ht="25.05" customHeight="1" x14ac:dyDescent="0.3">
      <c r="A70" s="72"/>
      <c r="B70" s="51"/>
      <c r="C70" s="51"/>
      <c r="D70" s="51"/>
      <c r="E70" s="51"/>
      <c r="F70" s="51"/>
      <c r="G70" s="51"/>
      <c r="H70" s="51"/>
      <c r="I70" s="51"/>
      <c r="J70" s="51"/>
      <c r="K70" s="51"/>
      <c r="L70" s="51"/>
      <c r="M70" s="51"/>
      <c r="N70" s="75"/>
    </row>
    <row r="71" spans="1:46" ht="25.05" customHeight="1" x14ac:dyDescent="0.3">
      <c r="A71" s="72"/>
      <c r="B71" s="51"/>
      <c r="C71" s="51"/>
      <c r="D71" s="51"/>
      <c r="E71" s="51"/>
      <c r="F71" s="51"/>
      <c r="G71" s="51"/>
      <c r="H71" s="51"/>
      <c r="I71" s="51"/>
      <c r="J71" s="51"/>
      <c r="K71" s="51"/>
      <c r="L71" s="51"/>
      <c r="M71" s="51"/>
      <c r="N71" s="75"/>
    </row>
    <row r="72" spans="1:46" ht="25.05" customHeight="1" x14ac:dyDescent="0.3">
      <c r="A72" s="72"/>
      <c r="B72" s="51"/>
      <c r="C72" s="51"/>
      <c r="D72" s="51"/>
      <c r="E72" s="51"/>
      <c r="F72" s="51"/>
      <c r="G72" s="51"/>
      <c r="H72" s="51"/>
      <c r="I72" s="51"/>
      <c r="J72" s="51"/>
      <c r="K72" s="51"/>
      <c r="L72" s="51"/>
      <c r="M72" s="51"/>
      <c r="N72" s="75"/>
    </row>
    <row r="73" spans="1:46" ht="25.05" customHeight="1" x14ac:dyDescent="0.3">
      <c r="A73" s="72"/>
      <c r="B73" s="51"/>
      <c r="C73" s="51"/>
      <c r="D73" s="51"/>
      <c r="E73" s="51"/>
      <c r="F73" s="51"/>
      <c r="G73" s="51"/>
      <c r="H73" s="51"/>
      <c r="I73" s="51"/>
      <c r="J73" s="51"/>
      <c r="K73" s="51"/>
      <c r="L73" s="51"/>
      <c r="M73" s="51"/>
      <c r="N73" s="75"/>
    </row>
    <row r="74" spans="1:46" ht="25.05" customHeight="1" x14ac:dyDescent="0.3">
      <c r="A74" s="72"/>
      <c r="B74" s="51"/>
      <c r="C74" s="51"/>
      <c r="D74" s="51"/>
      <c r="E74" s="51"/>
      <c r="F74" s="51"/>
      <c r="G74" s="51"/>
      <c r="H74" s="51"/>
      <c r="I74" s="51"/>
      <c r="J74" s="51"/>
      <c r="K74" s="51"/>
      <c r="L74" s="51"/>
      <c r="M74" s="51"/>
      <c r="N74" s="75"/>
    </row>
    <row r="75" spans="1:46" ht="25.05" customHeight="1" x14ac:dyDescent="0.3">
      <c r="A75" s="72"/>
      <c r="B75" s="51"/>
      <c r="C75" s="51"/>
      <c r="D75" s="51"/>
      <c r="E75" s="51"/>
      <c r="F75" s="51"/>
      <c r="G75" s="51"/>
      <c r="H75" s="51"/>
      <c r="I75" s="51"/>
      <c r="J75" s="51"/>
      <c r="K75" s="51"/>
      <c r="L75" s="51"/>
      <c r="M75" s="51"/>
      <c r="N75" s="75"/>
    </row>
    <row r="76" spans="1:46" ht="25.05" customHeight="1" x14ac:dyDescent="0.3">
      <c r="A76" s="72"/>
      <c r="B76" s="51"/>
      <c r="C76" s="51"/>
      <c r="D76" s="51"/>
      <c r="E76" s="51"/>
      <c r="F76" s="51"/>
      <c r="G76" s="51"/>
      <c r="H76" s="51"/>
      <c r="I76" s="51"/>
      <c r="J76" s="51"/>
      <c r="K76" s="51"/>
      <c r="L76" s="51"/>
      <c r="M76" s="51"/>
      <c r="N76" s="75"/>
      <c r="AT76" s="39" t="s">
        <v>551</v>
      </c>
    </row>
    <row r="77" spans="1:46" ht="25.05" customHeight="1" x14ac:dyDescent="0.3">
      <c r="A77" s="72"/>
      <c r="B77" s="51"/>
      <c r="C77" s="51"/>
      <c r="D77" s="51"/>
      <c r="E77" s="51"/>
      <c r="F77" s="51"/>
      <c r="G77" s="51"/>
      <c r="H77" s="51"/>
      <c r="I77" s="51"/>
      <c r="J77" s="51"/>
      <c r="K77" s="51"/>
      <c r="L77" s="51"/>
      <c r="M77" s="51"/>
      <c r="N77" s="75"/>
    </row>
    <row r="78" spans="1:46" ht="25.05" customHeight="1" x14ac:dyDescent="0.3">
      <c r="A78" s="72"/>
      <c r="B78" s="51"/>
      <c r="C78" s="51"/>
      <c r="D78" s="51"/>
      <c r="E78" s="51"/>
      <c r="F78" s="51"/>
      <c r="G78" s="51"/>
      <c r="H78" s="51"/>
      <c r="I78" s="51"/>
      <c r="J78" s="51"/>
      <c r="K78" s="51"/>
      <c r="L78" s="51"/>
      <c r="M78" s="51"/>
      <c r="N78" s="75"/>
    </row>
    <row r="79" spans="1:46" ht="25.05" customHeight="1" x14ac:dyDescent="0.3">
      <c r="A79" s="72"/>
      <c r="B79" s="51"/>
      <c r="C79" s="51"/>
      <c r="D79" s="51"/>
      <c r="E79" s="51"/>
      <c r="F79" s="51"/>
      <c r="G79" s="51"/>
      <c r="H79" s="51"/>
      <c r="I79" s="51"/>
      <c r="J79" s="51"/>
      <c r="K79" s="51"/>
      <c r="L79" s="51"/>
      <c r="M79" s="51"/>
      <c r="N79" s="75"/>
    </row>
    <row r="80" spans="1:46" ht="25.05" customHeight="1" x14ac:dyDescent="0.3">
      <c r="A80" s="72"/>
      <c r="B80" s="51"/>
      <c r="C80" s="51"/>
      <c r="D80" s="51"/>
      <c r="E80" s="51"/>
      <c r="F80" s="51"/>
      <c r="G80" s="51"/>
      <c r="H80" s="51"/>
      <c r="I80" s="51"/>
      <c r="J80" s="51"/>
      <c r="K80" s="51"/>
      <c r="L80" s="51"/>
      <c r="M80" s="51"/>
      <c r="N80" s="75"/>
    </row>
    <row r="81" spans="1:16" ht="25.05" customHeight="1" x14ac:dyDescent="0.3">
      <c r="A81" s="72"/>
      <c r="B81" s="107"/>
      <c r="C81" s="107"/>
      <c r="D81" s="107"/>
      <c r="E81" s="51"/>
      <c r="F81" s="107"/>
      <c r="G81" s="107"/>
      <c r="H81" s="107"/>
      <c r="I81" s="51"/>
      <c r="J81" s="60"/>
      <c r="K81" s="60"/>
      <c r="L81" s="60"/>
      <c r="M81" s="51"/>
      <c r="N81" s="75"/>
    </row>
    <row r="82" spans="1:16" ht="25.05" customHeight="1" x14ac:dyDescent="0.3">
      <c r="A82" s="72"/>
      <c r="B82" s="55"/>
      <c r="C82" s="55"/>
      <c r="D82" s="55"/>
      <c r="E82" s="55"/>
      <c r="F82" s="55"/>
      <c r="G82" s="55"/>
      <c r="H82" s="55"/>
      <c r="I82" s="55"/>
      <c r="J82" s="55"/>
      <c r="K82" s="55"/>
      <c r="L82" s="55"/>
      <c r="M82" s="55"/>
      <c r="N82" s="75"/>
    </row>
    <row r="83" spans="1:16" ht="25.05" customHeight="1" x14ac:dyDescent="0.3">
      <c r="A83" s="72"/>
      <c r="B83" s="56"/>
      <c r="C83" s="56"/>
      <c r="D83" s="57"/>
      <c r="E83" s="56"/>
      <c r="F83" s="56"/>
      <c r="G83" s="57"/>
      <c r="H83" s="58"/>
      <c r="I83" s="56"/>
      <c r="J83" s="56"/>
      <c r="K83" s="57"/>
      <c r="L83" s="56"/>
      <c r="M83" s="56"/>
      <c r="N83" s="75"/>
    </row>
    <row r="84" spans="1:16" ht="25.05" customHeight="1" x14ac:dyDescent="0.3">
      <c r="A84" s="72"/>
      <c r="B84" s="56"/>
      <c r="C84" s="56"/>
      <c r="D84" s="57"/>
      <c r="E84" s="56"/>
      <c r="F84" s="56"/>
      <c r="G84" s="57"/>
      <c r="H84" s="58"/>
      <c r="I84" s="56"/>
      <c r="J84" s="56"/>
      <c r="K84" s="57"/>
      <c r="L84" s="56"/>
      <c r="M84" s="56"/>
      <c r="N84" s="75"/>
    </row>
    <row r="85" spans="1:16" ht="25.05" customHeight="1" x14ac:dyDescent="0.3">
      <c r="A85" s="72"/>
      <c r="B85" s="56"/>
      <c r="C85" s="56"/>
      <c r="D85" s="57"/>
      <c r="E85" s="56"/>
      <c r="F85" s="56"/>
      <c r="G85" s="57"/>
      <c r="H85" s="58"/>
      <c r="I85" s="56"/>
      <c r="J85" s="56"/>
      <c r="K85" s="57"/>
      <c r="L85" s="56"/>
      <c r="M85" s="56"/>
      <c r="N85" s="75"/>
    </row>
    <row r="86" spans="1:16" ht="25.05" customHeight="1" x14ac:dyDescent="0.3">
      <c r="A86" s="72"/>
      <c r="B86" s="56"/>
      <c r="C86" s="56"/>
      <c r="D86" s="57"/>
      <c r="E86" s="56"/>
      <c r="F86" s="56"/>
      <c r="G86" s="57"/>
      <c r="H86" s="58"/>
      <c r="I86" s="56"/>
      <c r="J86" s="56"/>
      <c r="K86" s="57"/>
      <c r="L86" s="56"/>
      <c r="M86" s="56"/>
      <c r="N86" s="75"/>
    </row>
    <row r="87" spans="1:16" ht="25.05" customHeight="1" x14ac:dyDescent="0.3">
      <c r="A87" s="72"/>
      <c r="B87" s="56"/>
      <c r="C87" s="56"/>
      <c r="D87" s="57"/>
      <c r="E87" s="56"/>
      <c r="F87" s="56"/>
      <c r="G87" s="57"/>
      <c r="H87" s="58"/>
      <c r="I87" s="56"/>
      <c r="J87" s="56"/>
      <c r="K87" s="57"/>
      <c r="L87" s="56"/>
      <c r="M87" s="56"/>
      <c r="N87" s="75"/>
    </row>
    <row r="88" spans="1:16" ht="25.05" customHeight="1" x14ac:dyDescent="0.3">
      <c r="A88" s="72"/>
      <c r="B88" s="56"/>
      <c r="C88" s="56"/>
      <c r="D88" s="57"/>
      <c r="E88" s="56"/>
      <c r="F88" s="56"/>
      <c r="G88" s="57"/>
      <c r="H88" s="58"/>
      <c r="I88" s="56"/>
      <c r="J88" s="56"/>
      <c r="K88" s="56"/>
      <c r="L88" s="56"/>
      <c r="M88" s="56"/>
      <c r="N88" s="75"/>
      <c r="O88" s="63"/>
      <c r="P88" s="63"/>
    </row>
    <row r="89" spans="1:16" ht="25.05" customHeight="1" x14ac:dyDescent="0.3">
      <c r="A89" s="72"/>
      <c r="B89" s="56"/>
      <c r="C89" s="56"/>
      <c r="D89" s="56"/>
      <c r="E89" s="56"/>
      <c r="F89" s="56"/>
      <c r="G89" s="57"/>
      <c r="H89" s="58"/>
      <c r="I89" s="56"/>
      <c r="J89" s="56"/>
      <c r="K89" s="56"/>
      <c r="L89" s="56"/>
      <c r="M89" s="56"/>
      <c r="N89" s="75"/>
      <c r="O89" s="63"/>
      <c r="P89" s="63"/>
    </row>
    <row r="90" spans="1:16" ht="25.05" customHeight="1" x14ac:dyDescent="0.3">
      <c r="A90" s="72"/>
      <c r="B90" s="56"/>
      <c r="C90" s="56"/>
      <c r="D90" s="56"/>
      <c r="E90" s="56"/>
      <c r="F90" s="56"/>
      <c r="G90" s="57"/>
      <c r="H90" s="58"/>
      <c r="I90" s="56"/>
      <c r="J90" s="56"/>
      <c r="K90" s="56"/>
      <c r="L90" s="56"/>
      <c r="M90" s="56"/>
      <c r="N90" s="75"/>
      <c r="O90" s="63"/>
      <c r="P90" s="63"/>
    </row>
    <row r="91" spans="1:16" ht="25.05" customHeight="1" x14ac:dyDescent="0.3">
      <c r="A91" s="72"/>
      <c r="B91" s="51"/>
      <c r="C91" s="51"/>
      <c r="D91" s="51"/>
      <c r="E91" s="51"/>
      <c r="F91" s="51"/>
      <c r="G91" s="51"/>
      <c r="H91" s="51"/>
      <c r="I91" s="51"/>
      <c r="J91" s="51"/>
      <c r="K91" s="51"/>
      <c r="L91" s="51"/>
      <c r="M91" s="51"/>
      <c r="N91" s="75"/>
    </row>
    <row r="92" spans="1:16" ht="25.05" customHeight="1" x14ac:dyDescent="0.3">
      <c r="A92" s="72"/>
      <c r="B92" s="51"/>
      <c r="C92" s="51"/>
      <c r="D92" s="51"/>
      <c r="E92" s="51"/>
      <c r="F92" s="51"/>
      <c r="G92" s="51"/>
      <c r="H92" s="51"/>
      <c r="I92" s="51"/>
      <c r="J92" s="51"/>
      <c r="K92" s="51"/>
      <c r="L92" s="51"/>
      <c r="M92" s="51"/>
      <c r="N92" s="75"/>
    </row>
    <row r="93" spans="1:16" ht="25.05" customHeight="1" x14ac:dyDescent="0.3">
      <c r="A93" s="72"/>
      <c r="B93" s="51"/>
      <c r="C93" s="51"/>
      <c r="D93" s="51"/>
      <c r="E93" s="51"/>
      <c r="F93" s="51"/>
      <c r="G93" s="51"/>
      <c r="H93" s="51"/>
      <c r="I93" s="51"/>
      <c r="J93" s="51"/>
      <c r="K93" s="51"/>
      <c r="L93" s="51"/>
      <c r="M93" s="51"/>
      <c r="N93" s="75"/>
    </row>
    <row r="94" spans="1:16" ht="25.05" customHeight="1" x14ac:dyDescent="0.3">
      <c r="A94" s="72"/>
      <c r="B94" s="51"/>
      <c r="C94" s="51"/>
      <c r="D94" s="51"/>
      <c r="E94" s="51"/>
      <c r="F94" s="51"/>
      <c r="G94" s="51"/>
      <c r="H94" s="51"/>
      <c r="I94" s="51"/>
      <c r="J94" s="51"/>
      <c r="K94" s="51"/>
      <c r="L94" s="51"/>
      <c r="M94" s="51"/>
      <c r="N94" s="75"/>
    </row>
    <row r="95" spans="1:16" ht="25.05" customHeight="1" x14ac:dyDescent="0.3">
      <c r="A95" s="72"/>
      <c r="B95" s="51"/>
      <c r="C95" s="51"/>
      <c r="D95" s="51"/>
      <c r="E95" s="51"/>
      <c r="F95" s="51"/>
      <c r="G95" s="51"/>
      <c r="H95" s="51"/>
      <c r="I95" s="51"/>
      <c r="J95" s="51"/>
      <c r="K95" s="51"/>
      <c r="L95" s="51"/>
      <c r="M95" s="51"/>
      <c r="N95" s="75"/>
    </row>
    <row r="96" spans="1:16" ht="25.05" customHeight="1" x14ac:dyDescent="0.3">
      <c r="A96" s="72"/>
      <c r="B96" s="51"/>
      <c r="C96" s="51"/>
      <c r="D96" s="51"/>
      <c r="E96" s="51"/>
      <c r="F96" s="51"/>
      <c r="G96" s="51"/>
      <c r="H96" s="51"/>
      <c r="I96" s="51"/>
      <c r="J96" s="51"/>
      <c r="K96" s="51"/>
      <c r="L96" s="51"/>
      <c r="M96" s="51"/>
      <c r="N96" s="75"/>
    </row>
    <row r="97" spans="1:25" ht="32.4" customHeight="1" x14ac:dyDescent="0.3">
      <c r="A97" s="72"/>
      <c r="B97" s="51"/>
      <c r="C97" s="51"/>
      <c r="D97" s="51"/>
      <c r="E97" s="51"/>
      <c r="F97" s="51"/>
      <c r="G97" s="51"/>
      <c r="H97" s="51"/>
      <c r="I97" s="51"/>
      <c r="J97" s="51"/>
      <c r="K97" s="51"/>
      <c r="L97" s="51"/>
      <c r="M97" s="51"/>
      <c r="N97" s="75"/>
    </row>
    <row r="98" spans="1:25" ht="25.05" customHeight="1" x14ac:dyDescent="0.85">
      <c r="A98" s="77"/>
      <c r="B98" s="109" t="s">
        <v>553</v>
      </c>
      <c r="C98" s="109"/>
      <c r="D98" s="109"/>
      <c r="E98" s="109"/>
      <c r="F98" s="109"/>
      <c r="G98" s="109"/>
      <c r="H98" s="109"/>
      <c r="I98" s="109"/>
      <c r="J98" s="109"/>
      <c r="K98" s="109"/>
      <c r="L98" s="109"/>
      <c r="M98" s="109"/>
      <c r="N98" s="77"/>
      <c r="O98" s="76"/>
      <c r="P98" s="76"/>
      <c r="Q98" s="76"/>
      <c r="R98" s="76"/>
      <c r="S98" s="76"/>
      <c r="T98" s="76"/>
      <c r="U98" s="76"/>
      <c r="V98" s="76"/>
      <c r="W98" s="76"/>
      <c r="X98" s="76"/>
      <c r="Y98" s="76"/>
    </row>
    <row r="99" spans="1:25" ht="25.05" customHeight="1" x14ac:dyDescent="0.85">
      <c r="A99" s="77"/>
      <c r="B99" s="109"/>
      <c r="C99" s="109"/>
      <c r="D99" s="109"/>
      <c r="E99" s="109"/>
      <c r="F99" s="109"/>
      <c r="G99" s="109"/>
      <c r="H99" s="109"/>
      <c r="I99" s="109"/>
      <c r="J99" s="109"/>
      <c r="K99" s="109"/>
      <c r="L99" s="109"/>
      <c r="M99" s="109"/>
      <c r="N99" s="77"/>
      <c r="O99" s="76"/>
      <c r="P99" s="76"/>
      <c r="Q99" s="76"/>
      <c r="R99" s="76"/>
      <c r="S99" s="76"/>
      <c r="T99" s="76"/>
      <c r="U99" s="76"/>
      <c r="V99" s="76"/>
      <c r="W99" s="76"/>
      <c r="X99" s="76"/>
      <c r="Y99" s="76"/>
    </row>
    <row r="100" spans="1:25" ht="25.05" customHeight="1" x14ac:dyDescent="0.85">
      <c r="F100" s="39" t="s">
        <v>565</v>
      </c>
      <c r="N100" s="76"/>
      <c r="O100" s="76"/>
      <c r="P100" s="76"/>
      <c r="Q100" s="76"/>
      <c r="R100" s="76"/>
      <c r="S100" s="76"/>
      <c r="T100" s="76"/>
      <c r="U100" s="76"/>
      <c r="V100" s="76"/>
      <c r="W100" s="76"/>
      <c r="X100" s="76"/>
      <c r="Y100" s="76"/>
    </row>
    <row r="101" spans="1:25" ht="25.05" customHeight="1" x14ac:dyDescent="0.3"/>
    <row r="102" spans="1:25" ht="25.05" customHeight="1" x14ac:dyDescent="0.3">
      <c r="H102" s="66"/>
    </row>
    <row r="103" spans="1:25" ht="25.05" customHeight="1" x14ac:dyDescent="0.3"/>
    <row r="104" spans="1:25" ht="25.05" customHeight="1" x14ac:dyDescent="0.3"/>
    <row r="105" spans="1:25" ht="25.05" customHeight="1" x14ac:dyDescent="0.3"/>
    <row r="106" spans="1:25" ht="25.05" customHeight="1" x14ac:dyDescent="0.3"/>
    <row r="107" spans="1:25" ht="25.05" customHeight="1" x14ac:dyDescent="0.3"/>
    <row r="108" spans="1:25" ht="25.05" customHeight="1" x14ac:dyDescent="0.3"/>
    <row r="109" spans="1:25" ht="25.05" customHeight="1" x14ac:dyDescent="0.3"/>
    <row r="110" spans="1:25" ht="25.05" customHeight="1" x14ac:dyDescent="0.3"/>
    <row r="111" spans="1:25" ht="25.05" customHeight="1" x14ac:dyDescent="0.3"/>
    <row r="112" spans="1:25"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spans="2:13" ht="25.05" customHeight="1" x14ac:dyDescent="0.3"/>
    <row r="130" spans="2:13" ht="25.05" customHeight="1" x14ac:dyDescent="0.3"/>
    <row r="131" spans="2:13" ht="25.05" customHeight="1" x14ac:dyDescent="0.3">
      <c r="B131" s="106"/>
      <c r="C131" s="106"/>
      <c r="D131" s="106"/>
      <c r="G131" s="108"/>
      <c r="H131" s="108"/>
      <c r="K131" s="106"/>
      <c r="L131" s="106"/>
      <c r="M131" s="106"/>
    </row>
    <row r="132" spans="2:13" ht="25.05" customHeight="1" x14ac:dyDescent="0.3">
      <c r="B132" s="62"/>
      <c r="C132" s="62"/>
      <c r="D132" s="62"/>
      <c r="E132" s="63"/>
      <c r="F132" s="63"/>
      <c r="G132" s="62"/>
      <c r="H132" s="62"/>
      <c r="K132" s="62"/>
      <c r="L132" s="62"/>
      <c r="M132" s="62"/>
    </row>
    <row r="133" spans="2:13" ht="25.05" customHeight="1" x14ac:dyDescent="0.3">
      <c r="B133" s="63"/>
      <c r="C133" s="63"/>
      <c r="D133" s="63"/>
      <c r="E133" s="63"/>
      <c r="F133" s="63"/>
      <c r="G133" s="63"/>
      <c r="H133" s="63"/>
      <c r="K133" s="63"/>
      <c r="L133" s="64"/>
      <c r="M133" s="63"/>
    </row>
    <row r="134" spans="2:13" ht="25.05" customHeight="1" x14ac:dyDescent="0.3">
      <c r="B134" s="63"/>
      <c r="C134" s="63"/>
      <c r="D134" s="63"/>
      <c r="E134" s="63"/>
      <c r="F134" s="63"/>
      <c r="G134" s="63"/>
      <c r="H134" s="63"/>
      <c r="K134" s="63"/>
      <c r="L134" s="64"/>
      <c r="M134" s="63"/>
    </row>
    <row r="135" spans="2:13" ht="25.05" customHeight="1" x14ac:dyDescent="0.3">
      <c r="B135" s="63"/>
      <c r="C135" s="63"/>
      <c r="D135" s="63"/>
      <c r="E135" s="63"/>
      <c r="F135" s="63"/>
      <c r="G135" s="63"/>
      <c r="H135" s="63"/>
      <c r="K135" s="63"/>
      <c r="L135" s="64"/>
      <c r="M135" s="63"/>
    </row>
    <row r="136" spans="2:13" ht="25.05" customHeight="1" x14ac:dyDescent="0.3">
      <c r="B136" s="63"/>
      <c r="C136" s="63"/>
      <c r="D136" s="63"/>
      <c r="E136" s="63"/>
      <c r="F136" s="63"/>
      <c r="G136" s="63"/>
      <c r="H136" s="63"/>
      <c r="K136" s="63"/>
      <c r="L136" s="64"/>
      <c r="M136" s="63"/>
    </row>
    <row r="137" spans="2:13" ht="25.05" customHeight="1" x14ac:dyDescent="0.3">
      <c r="B137" s="63"/>
      <c r="C137" s="63"/>
      <c r="D137" s="63"/>
      <c r="E137" s="63"/>
      <c r="F137" s="63"/>
      <c r="G137" s="63"/>
      <c r="H137" s="63"/>
      <c r="K137" s="63"/>
      <c r="L137" s="64"/>
      <c r="M137" s="63"/>
    </row>
    <row r="138" spans="2:13" ht="25.05" customHeight="1" x14ac:dyDescent="0.3">
      <c r="B138" s="63"/>
      <c r="C138" s="63"/>
      <c r="D138" s="63"/>
      <c r="E138" s="63"/>
      <c r="F138" s="63"/>
      <c r="I138" s="63"/>
    </row>
    <row r="139" spans="2:13" ht="25.05" customHeight="1" x14ac:dyDescent="0.3"/>
    <row r="140" spans="2:13" ht="25.05" customHeight="1" x14ac:dyDescent="0.3"/>
    <row r="141" spans="2:13" ht="25.05" customHeight="1" x14ac:dyDescent="0.3"/>
    <row r="142" spans="2:13" ht="25.05" customHeight="1" x14ac:dyDescent="0.3"/>
    <row r="143" spans="2:13" ht="25.05" customHeight="1" x14ac:dyDescent="0.3"/>
    <row r="144" spans="2:13" ht="25.05" customHeight="1" x14ac:dyDescent="0.3"/>
    <row r="145" spans="2:12" ht="25.05" customHeight="1" x14ac:dyDescent="0.3"/>
    <row r="146" spans="2:12" ht="25.05" customHeight="1" x14ac:dyDescent="0.3"/>
    <row r="147" spans="2:12" ht="25.05" customHeight="1" x14ac:dyDescent="0.3"/>
    <row r="148" spans="2:12" ht="25.05" customHeight="1" x14ac:dyDescent="0.3"/>
    <row r="149" spans="2:12" ht="25.05" customHeight="1" x14ac:dyDescent="0.3"/>
    <row r="150" spans="2:12" ht="25.05" customHeight="1" x14ac:dyDescent="0.3"/>
    <row r="151" spans="2:12" ht="25.05" customHeight="1" x14ac:dyDescent="0.3"/>
    <row r="152" spans="2:12" ht="25.05" customHeight="1" x14ac:dyDescent="0.3"/>
    <row r="153" spans="2:12" ht="25.05" customHeight="1" x14ac:dyDescent="0.3"/>
    <row r="154" spans="2:12" ht="25.05" customHeight="1" x14ac:dyDescent="0.3"/>
    <row r="155" spans="2:12" ht="25.05" customHeight="1" x14ac:dyDescent="0.3"/>
    <row r="156" spans="2:12" ht="25.05" customHeight="1" x14ac:dyDescent="0.3"/>
    <row r="157" spans="2:12" ht="25.05" customHeight="1" x14ac:dyDescent="0.3"/>
    <row r="158" spans="2:12" ht="25.05" customHeight="1" x14ac:dyDescent="0.3"/>
    <row r="159" spans="2:12" ht="25.05" customHeight="1" x14ac:dyDescent="0.3">
      <c r="B159" s="106"/>
      <c r="C159" s="106"/>
      <c r="H159" s="106"/>
      <c r="I159" s="106"/>
      <c r="J159" s="106"/>
      <c r="K159" s="106"/>
      <c r="L159" s="106"/>
    </row>
    <row r="160" spans="2:12" ht="25.05" customHeight="1" x14ac:dyDescent="0.3">
      <c r="B160" s="62"/>
      <c r="C160" s="62"/>
      <c r="H160" s="62"/>
      <c r="I160" s="62"/>
      <c r="J160" s="62"/>
      <c r="K160" s="62"/>
      <c r="L160" s="62"/>
    </row>
    <row r="161" spans="2:12" ht="25.05" customHeight="1" x14ac:dyDescent="0.3">
      <c r="B161" s="67"/>
      <c r="C161" s="67"/>
      <c r="H161" s="65"/>
      <c r="I161" s="63"/>
      <c r="J161" s="63"/>
      <c r="K161" s="65"/>
      <c r="L161" s="63"/>
    </row>
    <row r="162" spans="2:12" ht="25.05" customHeight="1" x14ac:dyDescent="0.3">
      <c r="B162" s="67"/>
      <c r="C162" s="67"/>
      <c r="H162" s="65"/>
      <c r="I162" s="63"/>
      <c r="J162" s="63"/>
      <c r="K162" s="65"/>
      <c r="L162" s="63"/>
    </row>
    <row r="163" spans="2:12" ht="25.05" customHeight="1" x14ac:dyDescent="0.3">
      <c r="B163" s="67"/>
      <c r="C163" s="67"/>
      <c r="H163" s="65"/>
      <c r="I163" s="63"/>
      <c r="J163" s="63"/>
      <c r="K163" s="65"/>
      <c r="L163" s="63"/>
    </row>
    <row r="164" spans="2:12" ht="25.05" customHeight="1" x14ac:dyDescent="0.3">
      <c r="B164" s="67"/>
      <c r="C164" s="63"/>
      <c r="H164" s="65"/>
      <c r="I164" s="63"/>
      <c r="J164" s="63"/>
      <c r="K164" s="65"/>
      <c r="L164" s="63"/>
    </row>
    <row r="165" spans="2:12" ht="25.05" customHeight="1" x14ac:dyDescent="0.3">
      <c r="H165" s="65"/>
      <c r="I165" s="63"/>
      <c r="J165" s="63"/>
      <c r="K165" s="65"/>
      <c r="L165" s="63"/>
    </row>
    <row r="166" spans="2:12" ht="25.05" customHeight="1" x14ac:dyDescent="0.3">
      <c r="H166" s="65"/>
      <c r="I166" s="63"/>
      <c r="J166" s="63"/>
      <c r="K166" s="65"/>
      <c r="L166" s="63"/>
    </row>
    <row r="167" spans="2:12" ht="25.05" customHeight="1" x14ac:dyDescent="0.3">
      <c r="H167" s="65"/>
      <c r="I167" s="63"/>
      <c r="J167" s="63"/>
      <c r="K167" s="65"/>
      <c r="L167" s="63"/>
    </row>
    <row r="168" spans="2:12" ht="25.05" customHeight="1" x14ac:dyDescent="0.3">
      <c r="H168" s="65"/>
      <c r="I168" s="63"/>
      <c r="J168" s="63"/>
      <c r="K168" s="65"/>
      <c r="L168" s="63"/>
    </row>
    <row r="169" spans="2:12" ht="25.05" customHeight="1" x14ac:dyDescent="0.3">
      <c r="H169" s="65"/>
      <c r="I169" s="63"/>
      <c r="J169" s="63"/>
      <c r="K169" s="65"/>
      <c r="L169" s="63"/>
    </row>
    <row r="170" spans="2:12" ht="25.05" customHeight="1" x14ac:dyDescent="0.3">
      <c r="H170" s="65"/>
      <c r="I170" s="63"/>
      <c r="J170" s="63"/>
      <c r="K170" s="65"/>
      <c r="L170" s="63"/>
    </row>
    <row r="171" spans="2:12" ht="25.05" customHeight="1" x14ac:dyDescent="0.3">
      <c r="H171" s="65"/>
      <c r="I171" s="63"/>
      <c r="J171" s="63"/>
      <c r="K171" s="65"/>
      <c r="L171" s="63"/>
    </row>
    <row r="172" spans="2:12" ht="25.05" customHeight="1" x14ac:dyDescent="0.3">
      <c r="H172" s="65"/>
      <c r="I172" s="63"/>
      <c r="J172" s="63"/>
      <c r="K172" s="65"/>
      <c r="L172" s="63"/>
    </row>
    <row r="173" spans="2:12" ht="25.05" customHeight="1" x14ac:dyDescent="0.3">
      <c r="H173" s="65"/>
      <c r="I173" s="63"/>
      <c r="J173" s="63"/>
      <c r="K173" s="65"/>
      <c r="L173" s="63"/>
    </row>
    <row r="174" spans="2:12" ht="25.05" customHeight="1" x14ac:dyDescent="0.3">
      <c r="H174" s="65"/>
      <c r="I174" s="63"/>
      <c r="J174" s="63"/>
      <c r="K174" s="65"/>
      <c r="L174" s="63"/>
    </row>
    <row r="175" spans="2:12" ht="25.05" customHeight="1" x14ac:dyDescent="0.3">
      <c r="H175" s="65"/>
      <c r="I175" s="63"/>
      <c r="J175" s="63"/>
      <c r="K175" s="65"/>
      <c r="L175" s="63"/>
    </row>
    <row r="176" spans="2:12" ht="25.05" customHeight="1" x14ac:dyDescent="0.3">
      <c r="H176" s="65"/>
      <c r="I176" s="63"/>
      <c r="J176" s="63"/>
      <c r="K176" s="65"/>
      <c r="L176" s="63"/>
    </row>
    <row r="177" spans="8:12" ht="25.05" customHeight="1" x14ac:dyDescent="0.3">
      <c r="H177" s="65"/>
      <c r="I177" s="63"/>
      <c r="J177" s="63"/>
      <c r="K177" s="65"/>
      <c r="L177" s="63"/>
    </row>
    <row r="178" spans="8:12" ht="25.05" customHeight="1" x14ac:dyDescent="0.3">
      <c r="H178" s="65"/>
      <c r="I178" s="63"/>
      <c r="J178" s="63"/>
      <c r="K178" s="65"/>
      <c r="L178" s="63"/>
    </row>
    <row r="179" spans="8:12" ht="25.05" customHeight="1" x14ac:dyDescent="0.3">
      <c r="H179" s="65"/>
      <c r="I179" s="63"/>
      <c r="J179" s="63"/>
      <c r="K179" s="65"/>
      <c r="L179" s="63"/>
    </row>
    <row r="180" spans="8:12" ht="25.05" customHeight="1" x14ac:dyDescent="0.3">
      <c r="H180" s="65"/>
      <c r="I180" s="63"/>
      <c r="J180" s="63"/>
      <c r="K180" s="65"/>
      <c r="L180" s="63"/>
    </row>
    <row r="181" spans="8:12" ht="25.05" customHeight="1" x14ac:dyDescent="0.3">
      <c r="H181" s="65"/>
      <c r="I181" s="63"/>
      <c r="J181" s="63"/>
      <c r="K181" s="65"/>
      <c r="L181" s="63"/>
    </row>
    <row r="182" spans="8:12" ht="25.05" customHeight="1" x14ac:dyDescent="0.3">
      <c r="H182" s="65"/>
      <c r="I182" s="63"/>
      <c r="J182" s="63"/>
      <c r="K182" s="65"/>
      <c r="L182" s="63"/>
    </row>
    <row r="183" spans="8:12" ht="25.05" customHeight="1" x14ac:dyDescent="0.3">
      <c r="H183" s="65"/>
      <c r="I183" s="63"/>
      <c r="J183" s="63"/>
      <c r="K183" s="65"/>
      <c r="L183" s="63"/>
    </row>
    <row r="184" spans="8:12" ht="25.05" customHeight="1" x14ac:dyDescent="0.3">
      <c r="H184" s="68"/>
    </row>
    <row r="185" spans="8:12" ht="25.05" customHeight="1" x14ac:dyDescent="0.3">
      <c r="H185" s="68"/>
    </row>
    <row r="186" spans="8:12" ht="25.05" customHeight="1" x14ac:dyDescent="0.3"/>
    <row r="187" spans="8:12" ht="25.05" customHeight="1" x14ac:dyDescent="0.3"/>
    <row r="188" spans="8:12" ht="25.05" customHeight="1" x14ac:dyDescent="0.3"/>
    <row r="189" spans="8:12" ht="25.05" customHeight="1" x14ac:dyDescent="0.3"/>
    <row r="190" spans="8:12" ht="25.05" customHeight="1" x14ac:dyDescent="0.3"/>
    <row r="191" spans="8:12" ht="25.05" customHeight="1" x14ac:dyDescent="0.3"/>
    <row r="192" spans="8:1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sheetData>
  <dataConsolidate/>
  <mergeCells count="38">
    <mergeCell ref="I28:J28"/>
    <mergeCell ref="B54:C54"/>
    <mergeCell ref="E54:G54"/>
    <mergeCell ref="I54:K54"/>
    <mergeCell ref="B14:D15"/>
    <mergeCell ref="E12:G12"/>
    <mergeCell ref="E14:G15"/>
    <mergeCell ref="H12:J12"/>
    <mergeCell ref="B27:E27"/>
    <mergeCell ref="B1:J3"/>
    <mergeCell ref="B7:E7"/>
    <mergeCell ref="G7:I7"/>
    <mergeCell ref="B18:D19"/>
    <mergeCell ref="H18:J19"/>
    <mergeCell ref="K7:M7"/>
    <mergeCell ref="B12:D12"/>
    <mergeCell ref="N1:N3"/>
    <mergeCell ref="B22:D22"/>
    <mergeCell ref="B24:D25"/>
    <mergeCell ref="E22:G22"/>
    <mergeCell ref="H22:J22"/>
    <mergeCell ref="K22:M22"/>
    <mergeCell ref="E24:G25"/>
    <mergeCell ref="H24:J25"/>
    <mergeCell ref="K24:M25"/>
    <mergeCell ref="H14:J15"/>
    <mergeCell ref="K12:M12"/>
    <mergeCell ref="K14:M15"/>
    <mergeCell ref="K18:M19"/>
    <mergeCell ref="E18:G19"/>
    <mergeCell ref="B159:C159"/>
    <mergeCell ref="H159:L159"/>
    <mergeCell ref="B81:D81"/>
    <mergeCell ref="F81:H81"/>
    <mergeCell ref="K131:M131"/>
    <mergeCell ref="B131:D131"/>
    <mergeCell ref="G131:H131"/>
    <mergeCell ref="B98:M99"/>
  </mergeCells>
  <phoneticPr fontId="2" type="noConversion"/>
  <conditionalFormatting sqref="AU7 AU9:AU10">
    <cfRule type="cellIs" dxfId="9" priority="1" operator="greaterThan">
      <formula>50</formula>
    </cfRule>
  </conditionalFormatting>
  <dataValidations disablePrompts="1" count="1">
    <dataValidation type="list" allowBlank="1" showInputMessage="1" showErrorMessage="1" sqref="M8:M10" xr:uid="{8F1044D0-BA56-4AF0-B787-D2BCF45CF734}">
      <formula1>INDIRECT("WeekList")</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F9CFECB-14EF-4082-A61B-BF3D0C3D0F8F}">
          <x14:formula1>
            <xm:f>'02_Master_Data'!$B$6:$B$20</xm:f>
          </x14:formula1>
          <xm:sqref>F143 Q87</xm:sqref>
        </x14:dataValidation>
      </x14:dataValidations>
    </ex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490EC-7EE7-4BF9-AFF7-BF1C1134ADDD}">
  <sheetPr codeName="Sheet7">
    <tabColor rgb="FFC00000"/>
  </sheetPr>
  <dimension ref="A1:N142"/>
  <sheetViews>
    <sheetView tabSelected="1" zoomScale="79" zoomScaleNormal="79" workbookViewId="0">
      <selection activeCell="I10" sqref="I10:N10"/>
    </sheetView>
  </sheetViews>
  <sheetFormatPr defaultRowHeight="14.4" x14ac:dyDescent="0.3"/>
  <cols>
    <col min="1" max="12" width="21.6640625" customWidth="1"/>
  </cols>
  <sheetData>
    <row r="1" spans="1:14" ht="23.4" customHeight="1" x14ac:dyDescent="0.3">
      <c r="A1" s="95" t="s">
        <v>510</v>
      </c>
      <c r="B1" s="95"/>
      <c r="C1" s="95"/>
      <c r="D1" s="95"/>
      <c r="E1" s="95"/>
      <c r="F1" s="95"/>
      <c r="G1" s="95"/>
      <c r="H1" s="95"/>
      <c r="I1" s="95"/>
      <c r="J1" s="95"/>
      <c r="K1" s="95"/>
      <c r="L1" s="95"/>
    </row>
    <row r="2" spans="1:14" ht="23.4" customHeight="1" x14ac:dyDescent="0.3">
      <c r="A2" s="95"/>
      <c r="B2" s="95"/>
      <c r="C2" s="95"/>
      <c r="D2" s="95"/>
      <c r="E2" s="95"/>
      <c r="F2" s="95"/>
      <c r="G2" s="95"/>
      <c r="H2" s="95"/>
      <c r="I2" s="95"/>
      <c r="J2" s="95"/>
      <c r="K2" s="95"/>
      <c r="L2" s="95"/>
    </row>
    <row r="3" spans="1:14" ht="30" customHeight="1" x14ac:dyDescent="0.3">
      <c r="A3" s="96"/>
      <c r="B3" s="96"/>
      <c r="C3" s="96"/>
      <c r="D3" s="96"/>
      <c r="E3" s="96"/>
      <c r="F3" s="96"/>
      <c r="G3" s="96"/>
      <c r="H3" s="96"/>
      <c r="I3" s="96"/>
      <c r="J3" s="96"/>
      <c r="K3" s="96"/>
      <c r="L3" s="96"/>
    </row>
    <row r="4" spans="1:14" x14ac:dyDescent="0.3">
      <c r="A4" t="s">
        <v>422</v>
      </c>
      <c r="B4" t="s">
        <v>423</v>
      </c>
    </row>
    <row r="5" spans="1:14" x14ac:dyDescent="0.3">
      <c r="A5" t="s">
        <v>424</v>
      </c>
      <c r="B5">
        <f>COUNTA(tblStudents[Student_ID])</f>
        <v>15</v>
      </c>
    </row>
    <row r="6" spans="1:14" x14ac:dyDescent="0.3">
      <c r="A6" t="s">
        <v>425</v>
      </c>
      <c r="B6">
        <f>SUM(tblStudyData[Actual_Study_Hours])</f>
        <v>620.59999999999945</v>
      </c>
    </row>
    <row r="7" spans="1:14" x14ac:dyDescent="0.3">
      <c r="A7" t="s">
        <v>426</v>
      </c>
      <c r="B7">
        <f>AVERAGE(tblStudyData[Actual_Study_Hours])</f>
        <v>2.0686666666666649</v>
      </c>
    </row>
    <row r="8" spans="1:14" x14ac:dyDescent="0.3">
      <c r="A8" t="s">
        <v>427</v>
      </c>
      <c r="B8">
        <f>AVERAGE(tblStudyData[Test_Score])</f>
        <v>80.473333333333329</v>
      </c>
    </row>
    <row r="9" spans="1:14" x14ac:dyDescent="0.3">
      <c r="A9" t="s">
        <v>428</v>
      </c>
      <c r="B9" s="20">
        <f>AVERAGE(tblStudyData[Attendance_Percentage])</f>
        <v>0.8973666666666672</v>
      </c>
      <c r="I9" t="s">
        <v>434</v>
      </c>
      <c r="J9" t="s">
        <v>435</v>
      </c>
      <c r="K9" t="s">
        <v>436</v>
      </c>
      <c r="L9" t="s">
        <v>437</v>
      </c>
      <c r="M9" t="s">
        <v>438</v>
      </c>
      <c r="N9" t="s">
        <v>439</v>
      </c>
    </row>
    <row r="10" spans="1:14" x14ac:dyDescent="0.3">
      <c r="A10" t="s">
        <v>429</v>
      </c>
      <c r="B10" s="20">
        <f>COUNTIFS(tblStudyData[Assignment_Given],"Yes",tblStudyData[Assignment_Completed],"Yes")/COUNTIF(tblStudyData[Assignment_Given],"Yes")</f>
        <v>0.96283783783783783</v>
      </c>
      <c r="H10" t="str" cm="1">
        <f t="array" aca="1" ref="H10" ca="1">INDIRECT("06_Dashboard!$M$4")</f>
        <v>Kavya</v>
      </c>
      <c r="I10" cm="1">
        <f t="array" aca="1" ref="I10:N10" ca="1">_xlfn.XLOOKUP(H10,_xlfn.ANCHORARRAY(B18),C18:H32)</f>
        <v>34.6</v>
      </c>
      <c r="J10">
        <f ca="1"/>
        <v>80.411764705882348</v>
      </c>
      <c r="K10">
        <f ca="1"/>
        <v>0.91705882352941182</v>
      </c>
      <c r="L10">
        <f ca="1"/>
        <v>1</v>
      </c>
      <c r="M10" t="str">
        <f ca="1"/>
        <v>Normal</v>
      </c>
      <c r="N10">
        <f ca="1"/>
        <v>9</v>
      </c>
    </row>
    <row r="11" spans="1:14" x14ac:dyDescent="0.3">
      <c r="A11" t="s">
        <v>430</v>
      </c>
      <c r="B11" cm="1">
        <f t="array" ref="B11">COUNTA(_xlfn.UNIQUE(_xlfn._xlws.FILTER(tblStudyData[Student_ID],(tblStudyData[Test_Score]&lt;40)+(tblStudyData[Attendance_Percentage]&lt;75%))))</f>
        <v>1</v>
      </c>
    </row>
    <row r="12" spans="1:14" x14ac:dyDescent="0.3">
      <c r="A12" t="s">
        <v>431</v>
      </c>
      <c r="B12">
        <f>COUNTA(tblSubjects[Subjects])</f>
        <v>6</v>
      </c>
    </row>
    <row r="13" spans="1:14" x14ac:dyDescent="0.3">
      <c r="A13" t="s">
        <v>432</v>
      </c>
      <c r="B13" t="str" cm="1">
        <f t="array" ref="B13">_xlfn.XLOOKUP(MAX(INDEX(AVERAGEIF(tblStudyData[Student_ID],tblStudents[Student_ID],tblStudyData[Test_Score]),)),INDEX(AVERAGEIF(tblStudyData[Student_ID],tblStudents[Student_ID],tblStudyData[Test_Score]),),tblStudents[Student_Name])</f>
        <v>Naveen</v>
      </c>
    </row>
    <row r="14" spans="1:14" x14ac:dyDescent="0.3">
      <c r="A14" t="s">
        <v>433</v>
      </c>
      <c r="B14" t="str" cm="1">
        <f t="array" ref="B14">INDEX(tblSubjects[Subjects],MATCH(MAX(COUNTIF(tblStudyData[Subject],tblSubjects[Subjects])),COUNTIF(tblStudyData[Subject],tblSubjects[Subjects]),0))</f>
        <v>English</v>
      </c>
    </row>
    <row r="17" spans="1:12" x14ac:dyDescent="0.3">
      <c r="A17" t="s">
        <v>2</v>
      </c>
      <c r="B17" t="s">
        <v>3</v>
      </c>
      <c r="C17" t="s">
        <v>434</v>
      </c>
      <c r="D17" t="s">
        <v>435</v>
      </c>
      <c r="E17" t="s">
        <v>436</v>
      </c>
      <c r="F17" t="s">
        <v>437</v>
      </c>
      <c r="G17" t="s">
        <v>438</v>
      </c>
      <c r="H17" t="s">
        <v>439</v>
      </c>
    </row>
    <row r="18" spans="1:12" x14ac:dyDescent="0.3">
      <c r="A18" t="str" cm="1">
        <f t="array" ref="A18:A32">tblStudents[Student_ID]</f>
        <v>ST001</v>
      </c>
      <c r="B18" t="str" cm="1">
        <f t="array" ref="B18:B32">_xlfn.XLOOKUP(_xlfn.ANCHORARRAY(A18),tblStudents[Student_ID],tblStudents[Student_Name],"")</f>
        <v>Rahul</v>
      </c>
      <c r="C18" s="21" cm="1">
        <f t="array" ref="C18:C32">SUMIF(tblStudyData[Student_ID],_xlfn.ANCHORARRAY(A18),tblStudyData[Actual_Study_Hours])</f>
        <v>35.300000000000004</v>
      </c>
      <c r="D18" s="21" cm="1">
        <f t="array" ref="D18:D32">AVERAGEIF(tblStudyData[Student_ID],_xlfn.ANCHORARRAY(A18),tblStudyData[Test_Score])</f>
        <v>79.5</v>
      </c>
      <c r="E18" s="20" cm="1">
        <f t="array" ref="E18:E32">AVERAGEIF(tblStudyData[Student_ID],_xlfn.ANCHORARRAY(A18),tblStudyData[Attendance_Percentage])</f>
        <v>0.90399999999999991</v>
      </c>
      <c r="F18" s="20" cm="1">
        <f t="array" ref="F18:F32">COUNTIFS(tblStudyData[Student_ID],_xlfn.ANCHORARRAY(A18),tblStudyData[Assignment_Given],"Yes",tblStudyData[Assignment_Completed],"Yes")/COUNTIFS(tblStudyData[Student_ID],_xlfn.ANCHORARRAY(A18),tblStudyData[Assignment_Given],"Yes")</f>
        <v>0.95</v>
      </c>
      <c r="G18" t="str" cm="1">
        <f t="array" ref="G18:G32">IF((_xlfn.ANCHORARRAY(D18)&lt;40)+(_xlfn.ANCHORARRAY(E18)&lt;75%)&gt;0,"At Risk","Normal")</f>
        <v>Normal</v>
      </c>
      <c r="H18" cm="1">
        <f t="array" ref="H18:H32">_xlfn.RANK.EQ(_xlfn.ANCHORARRAY(D18),_xlfn.ANCHORARRAY(D18),0)</f>
        <v>11</v>
      </c>
    </row>
    <row r="19" spans="1:12" x14ac:dyDescent="0.3">
      <c r="A19" t="str">
        <v>ST002</v>
      </c>
      <c r="B19" t="str">
        <v>Priya</v>
      </c>
      <c r="C19" s="21">
        <v>32.29999999999999</v>
      </c>
      <c r="D19" s="21">
        <v>82.6875</v>
      </c>
      <c r="E19" s="20">
        <v>0.88312500000000016</v>
      </c>
      <c r="F19" s="20">
        <v>1</v>
      </c>
      <c r="G19" t="str">
        <v>Normal</v>
      </c>
      <c r="H19">
        <v>4</v>
      </c>
    </row>
    <row r="20" spans="1:12" x14ac:dyDescent="0.3">
      <c r="A20" t="str">
        <v>ST003</v>
      </c>
      <c r="B20" t="str">
        <v>Arjun</v>
      </c>
      <c r="C20" s="21">
        <v>40.999999999999993</v>
      </c>
      <c r="D20" s="21">
        <v>77.63636363636364</v>
      </c>
      <c r="E20" s="20">
        <v>0.93909090909090931</v>
      </c>
      <c r="F20" s="20">
        <v>1</v>
      </c>
      <c r="G20" t="str">
        <v>Normal</v>
      </c>
      <c r="H20">
        <v>13</v>
      </c>
    </row>
    <row r="21" spans="1:12" x14ac:dyDescent="0.3">
      <c r="A21" t="str">
        <v>ST004</v>
      </c>
      <c r="B21" t="str">
        <v>Sneha</v>
      </c>
      <c r="C21" s="21">
        <v>33.099999999999994</v>
      </c>
      <c r="D21" s="21">
        <v>75.928571428571431</v>
      </c>
      <c r="E21" s="20">
        <v>0.89642857142857146</v>
      </c>
      <c r="F21" s="20">
        <v>0.9285714285714286</v>
      </c>
      <c r="G21" t="str">
        <v>Normal</v>
      </c>
      <c r="H21">
        <v>15</v>
      </c>
    </row>
    <row r="22" spans="1:12" x14ac:dyDescent="0.3">
      <c r="A22" t="str">
        <v>ST005</v>
      </c>
      <c r="B22" t="str">
        <v>Kiran</v>
      </c>
      <c r="C22" s="21">
        <v>29.599999999999998</v>
      </c>
      <c r="D22" s="21">
        <v>80.375</v>
      </c>
      <c r="E22" s="20">
        <v>0.88124999999999998</v>
      </c>
      <c r="F22" s="20">
        <v>0.8125</v>
      </c>
      <c r="G22" t="str">
        <v>Normal</v>
      </c>
      <c r="H22">
        <v>10</v>
      </c>
    </row>
    <row r="23" spans="1:12" x14ac:dyDescent="0.3">
      <c r="A23" t="str">
        <v>ST006</v>
      </c>
      <c r="B23" t="str">
        <v>Anjali</v>
      </c>
      <c r="C23" s="21">
        <v>66.199999999999989</v>
      </c>
      <c r="D23" s="21">
        <v>79.09375</v>
      </c>
      <c r="E23" s="20">
        <v>0.90656250000000016</v>
      </c>
      <c r="F23" s="20">
        <v>1</v>
      </c>
      <c r="G23" t="str">
        <v>Normal</v>
      </c>
      <c r="H23">
        <v>12</v>
      </c>
    </row>
    <row r="24" spans="1:12" x14ac:dyDescent="0.3">
      <c r="A24" t="str">
        <v>ST007</v>
      </c>
      <c r="B24" t="str">
        <v>Rohit</v>
      </c>
      <c r="C24" s="21">
        <v>38.899999999999991</v>
      </c>
      <c r="D24" s="21">
        <v>83.266666666666666</v>
      </c>
      <c r="E24" s="20">
        <v>0.90666666666666673</v>
      </c>
      <c r="F24" s="20">
        <v>1</v>
      </c>
      <c r="G24" t="str">
        <v>Normal</v>
      </c>
      <c r="H24">
        <v>2</v>
      </c>
    </row>
    <row r="25" spans="1:12" x14ac:dyDescent="0.3">
      <c r="A25" t="str">
        <v>ST008</v>
      </c>
      <c r="B25" t="str">
        <v>Divya</v>
      </c>
      <c r="C25" s="21">
        <v>47.699999999999996</v>
      </c>
      <c r="D25" s="21">
        <v>81.578947368421055</v>
      </c>
      <c r="E25" s="20">
        <v>0.86421052631578954</v>
      </c>
      <c r="F25" s="20">
        <v>0.94444444444444442</v>
      </c>
      <c r="G25" t="str">
        <v>Normal</v>
      </c>
      <c r="H25">
        <v>6</v>
      </c>
    </row>
    <row r="26" spans="1:12" x14ac:dyDescent="0.3">
      <c r="A26" t="str">
        <v>ST009</v>
      </c>
      <c r="B26" t="str">
        <v>Vikaram</v>
      </c>
      <c r="C26" s="21">
        <v>51</v>
      </c>
      <c r="D26" s="21">
        <v>81.791666666666671</v>
      </c>
      <c r="E26" s="20">
        <v>0.88166666666666682</v>
      </c>
      <c r="F26" s="20">
        <v>1</v>
      </c>
      <c r="G26" t="str">
        <v>Normal</v>
      </c>
      <c r="H26">
        <v>5</v>
      </c>
    </row>
    <row r="27" spans="1:12" x14ac:dyDescent="0.3">
      <c r="A27" t="str">
        <v>ST010</v>
      </c>
      <c r="B27" t="str">
        <v>Neha</v>
      </c>
      <c r="C27" s="21">
        <v>49.099999999999987</v>
      </c>
      <c r="D27" s="21">
        <v>81.086956521739125</v>
      </c>
      <c r="E27" s="20">
        <v>0.93260869565217386</v>
      </c>
      <c r="F27" s="20">
        <v>0.91304347826086951</v>
      </c>
      <c r="G27" t="str">
        <v>Normal</v>
      </c>
      <c r="H27">
        <v>8</v>
      </c>
    </row>
    <row r="28" spans="1:12" x14ac:dyDescent="0.3">
      <c r="A28" t="str">
        <v>ST011</v>
      </c>
      <c r="B28" t="str">
        <v>Sai</v>
      </c>
      <c r="C28" s="21">
        <v>36.399999999999984</v>
      </c>
      <c r="D28" s="21">
        <v>77.045454545454547</v>
      </c>
      <c r="E28" s="20">
        <v>0.89500000000000024</v>
      </c>
      <c r="F28" s="20">
        <v>1</v>
      </c>
      <c r="G28" t="str">
        <v>Normal</v>
      </c>
      <c r="H28">
        <v>14</v>
      </c>
    </row>
    <row r="29" spans="1:12" x14ac:dyDescent="0.3">
      <c r="A29" t="str">
        <v>ST012</v>
      </c>
      <c r="B29" t="str">
        <v>Pooja</v>
      </c>
      <c r="C29" s="21">
        <v>43.9</v>
      </c>
      <c r="D29" s="21">
        <v>81.173913043478265</v>
      </c>
      <c r="E29" s="20">
        <v>0.9104347826086957</v>
      </c>
      <c r="F29" s="20">
        <v>1</v>
      </c>
      <c r="G29" t="str">
        <v>Normal</v>
      </c>
      <c r="H29">
        <v>7</v>
      </c>
    </row>
    <row r="30" spans="1:12" x14ac:dyDescent="0.3">
      <c r="A30" t="str">
        <v>ST013</v>
      </c>
      <c r="B30" t="str">
        <v>Naveen</v>
      </c>
      <c r="C30" s="21">
        <v>40.200000000000003</v>
      </c>
      <c r="D30" s="21">
        <v>83.777777777777771</v>
      </c>
      <c r="E30" s="20">
        <v>0.86722222222222234</v>
      </c>
      <c r="F30" s="20">
        <v>0.94444444444444442</v>
      </c>
      <c r="G30" t="str">
        <v>Normal</v>
      </c>
      <c r="H30">
        <v>1</v>
      </c>
      <c r="L30" s="20"/>
    </row>
    <row r="31" spans="1:12" x14ac:dyDescent="0.3">
      <c r="A31" t="str">
        <v>ST014</v>
      </c>
      <c r="B31" t="str">
        <v>Kavya</v>
      </c>
      <c r="C31" s="21">
        <v>34.6</v>
      </c>
      <c r="D31" s="21">
        <v>80.411764705882348</v>
      </c>
      <c r="E31" s="20">
        <v>0.91705882352941182</v>
      </c>
      <c r="F31" s="20">
        <v>1</v>
      </c>
      <c r="G31" t="str">
        <v>Normal</v>
      </c>
      <c r="H31">
        <v>9</v>
      </c>
    </row>
    <row r="32" spans="1:12" x14ac:dyDescent="0.3">
      <c r="A32" t="str">
        <v>ST015</v>
      </c>
      <c r="B32" t="str">
        <v>Akhil</v>
      </c>
      <c r="C32" s="21">
        <v>41.3</v>
      </c>
      <c r="D32" s="21">
        <v>83</v>
      </c>
      <c r="E32" s="20">
        <v>0.85368421052631571</v>
      </c>
      <c r="F32" s="20">
        <v>0.89473684210526316</v>
      </c>
      <c r="G32" t="str">
        <v>Normal</v>
      </c>
      <c r="H32">
        <v>3</v>
      </c>
    </row>
    <row r="36" spans="1:8" x14ac:dyDescent="0.3">
      <c r="A36" t="s">
        <v>7</v>
      </c>
      <c r="B36" t="s">
        <v>434</v>
      </c>
      <c r="C36" t="s">
        <v>435</v>
      </c>
      <c r="D36" t="s">
        <v>436</v>
      </c>
      <c r="E36" t="s">
        <v>437</v>
      </c>
      <c r="F36" t="s">
        <v>440</v>
      </c>
      <c r="G36" t="s">
        <v>441</v>
      </c>
      <c r="H36" t="s">
        <v>439</v>
      </c>
    </row>
    <row r="37" spans="1:8" x14ac:dyDescent="0.3">
      <c r="A37" t="str" cm="1">
        <f t="array" ref="A37:A42">tblSubjects[Subjects]</f>
        <v>Mathematics</v>
      </c>
      <c r="B37" s="22" cm="1">
        <f t="array" ref="B37:B42">SUMIF(tblStudyData[Subject],_xlfn.ANCHORARRAY(A37),tblStudyData[Actual_Study_Hours])</f>
        <v>108.6</v>
      </c>
      <c r="C37" s="21" cm="1">
        <f t="array" ref="C37:C42">AVERAGEIF(tblStudyData[Subject],_xlfn.ANCHORARRAY(A37),tblStudyData[Test_Score])</f>
        <v>82.94736842105263</v>
      </c>
      <c r="D37" s="20" cm="1">
        <f t="array" ref="D37:D42">AVERAGEIF(tblStudyData[Subject],_xlfn.ANCHORARRAY(A37),tblStudyData[Attendance_Percentage])</f>
        <v>0.90298245614035089</v>
      </c>
      <c r="E37" s="20" cm="1">
        <f t="array" ref="E37:E42">COUNTIFS(tblStudyData[Subject],_xlfn.ANCHORARRAY(A37),tblStudyData[Assignment_Given],"Yes",tblStudyData[Subject],_xlfn.ANCHORARRAY(A37),tblStudyData[Assignment_Completed],"Yes")/COUNTIFS(tblStudyData[Subject],_xlfn.ANCHORARRAY(A37),tblStudyData[Assignment_Given],"Yes")</f>
        <v>0.98245614035087714</v>
      </c>
      <c r="F37" cm="1">
        <f t="array" ref="F37">COUNTA(_xlfn.UNIQUE(_xlfn._xlws.FILTER(tblStudyData[Student_ID],tblStudyData[Subject]=_xlfn.ANCHORARRAY(A37))))</f>
        <v>1</v>
      </c>
      <c r="G37" t="str" cm="1">
        <f t="array" ref="G37:G42">IF(_xlfn.ANCHORARRAY(C37)&gt;=80,"Excellent",IF(_xlfn.ANCHORARRAY(C37)&gt;=60,"Good",IF(_xlfn.ANCHORARRAY(C37)&gt;=40,"Average","Poor")))</f>
        <v>Excellent</v>
      </c>
      <c r="H37" s="21" cm="1">
        <f t="array" ref="H37:H42">_xlfn.RANK.EQ(_xlfn.ANCHORARRAY(C37),_xlfn.ANCHORARRAY(C37),0)</f>
        <v>1</v>
      </c>
    </row>
    <row r="38" spans="1:8" x14ac:dyDescent="0.3">
      <c r="A38" t="str">
        <v>Physics</v>
      </c>
      <c r="B38" s="22">
        <v>123.7</v>
      </c>
      <c r="C38" s="21">
        <v>81.216666666666669</v>
      </c>
      <c r="D38" s="20">
        <v>0.89283333333333348</v>
      </c>
      <c r="E38" s="20">
        <v>0.91666666666666663</v>
      </c>
      <c r="F38" cm="1">
        <f t="array" ref="F38">COUNTA(_xlfn.UNIQUE(_xlfn._xlws.FILTER(tblStudyData[Student_ID],tblStudyData[Subject]=_xlfn.ANCHORARRAY(A38))))</f>
        <v>1</v>
      </c>
      <c r="G38" t="str">
        <v>Excellent</v>
      </c>
      <c r="H38" s="21">
        <v>2</v>
      </c>
    </row>
    <row r="39" spans="1:8" x14ac:dyDescent="0.3">
      <c r="A39" t="str">
        <v>Chemistry</v>
      </c>
      <c r="B39" s="22">
        <v>111.20000000000003</v>
      </c>
      <c r="C39" s="21">
        <v>80.239999999999995</v>
      </c>
      <c r="D39" s="20">
        <v>0.89920000000000011</v>
      </c>
      <c r="E39" s="20">
        <v>0.9</v>
      </c>
      <c r="F39" cm="1">
        <f t="array" ref="F39">COUNTA(_xlfn.UNIQUE(_xlfn._xlws.FILTER(tblStudyData[Student_ID],tblStudyData[Subject]=_xlfn.ANCHORARRAY(A39))))</f>
        <v>1</v>
      </c>
      <c r="G39" t="str">
        <v>Excellent</v>
      </c>
      <c r="H39" s="21">
        <v>3</v>
      </c>
    </row>
    <row r="40" spans="1:8" x14ac:dyDescent="0.3">
      <c r="A40" t="str">
        <v>English</v>
      </c>
      <c r="B40" s="22">
        <v>131.70000000000002</v>
      </c>
      <c r="C40" s="21">
        <v>79.294117647058826</v>
      </c>
      <c r="D40" s="20">
        <v>0.88911764705882346</v>
      </c>
      <c r="E40" s="20">
        <v>1</v>
      </c>
      <c r="F40" cm="1">
        <f t="array" ref="F40">COUNTA(_xlfn.UNIQUE(_xlfn._xlws.FILTER(tblStudyData[Student_ID],tblStudyData[Subject]=_xlfn.ANCHORARRAY(A40))))</f>
        <v>1</v>
      </c>
      <c r="G40" t="str">
        <v>Good</v>
      </c>
      <c r="H40" s="21">
        <v>5</v>
      </c>
    </row>
    <row r="41" spans="1:8" x14ac:dyDescent="0.3">
      <c r="A41" t="str">
        <v>Computer Science</v>
      </c>
      <c r="B41" s="22">
        <v>63.29999999999999</v>
      </c>
      <c r="C41" s="21">
        <v>78.241379310344826</v>
      </c>
      <c r="D41" s="20">
        <v>0.90517241379310343</v>
      </c>
      <c r="E41" s="20">
        <v>1</v>
      </c>
      <c r="F41" cm="1">
        <f t="array" ref="F41">COUNTA(_xlfn.UNIQUE(_xlfn._xlws.FILTER(tblStudyData[Student_ID],tblStudyData[Subject]=_xlfn.ANCHORARRAY(A41))))</f>
        <v>1</v>
      </c>
      <c r="G41" t="str">
        <v>Good</v>
      </c>
      <c r="H41" s="21">
        <v>6</v>
      </c>
    </row>
    <row r="42" spans="1:8" x14ac:dyDescent="0.3">
      <c r="A42" t="str">
        <v>Biology</v>
      </c>
      <c r="B42" s="22">
        <v>82.1</v>
      </c>
      <c r="C42" s="21">
        <v>79.666666666666671</v>
      </c>
      <c r="D42" s="20">
        <v>0.90277777777777779</v>
      </c>
      <c r="E42" s="20">
        <v>1</v>
      </c>
      <c r="F42" cm="1">
        <f t="array" ref="F42">COUNTA(_xlfn.UNIQUE(_xlfn._xlws.FILTER(tblStudyData[Student_ID],tblStudyData[Subject]=_xlfn.ANCHORARRAY(A42))))</f>
        <v>1</v>
      </c>
      <c r="G42" t="str">
        <v>Good</v>
      </c>
      <c r="H42" s="21">
        <v>4</v>
      </c>
    </row>
    <row r="53" spans="1:6" x14ac:dyDescent="0.3">
      <c r="A53" t="s">
        <v>442</v>
      </c>
      <c r="B53" t="s">
        <v>425</v>
      </c>
      <c r="C53" t="s">
        <v>443</v>
      </c>
      <c r="D53" t="s">
        <v>428</v>
      </c>
      <c r="E53" t="s">
        <v>444</v>
      </c>
      <c r="F53" t="s">
        <v>445</v>
      </c>
    </row>
    <row r="54" spans="1:6" x14ac:dyDescent="0.3">
      <c r="A54" cm="1">
        <f t="array" ref="A54:A58">_xlfn._xlws.SORT(_xlfn.UNIQUE(tblStudyData[Week_No]))</f>
        <v>31</v>
      </c>
      <c r="B54" s="21">
        <f>SUMIF(tblStudyData[Week_No],A54,tblStudyData[Actual_Study_Hours])</f>
        <v>36.200000000000003</v>
      </c>
      <c r="C54" s="21">
        <f>AVERAGEIF(tblStudyData[Week_No],A54,tblStudyData[Test_Score])</f>
        <v>83.45</v>
      </c>
      <c r="D54" s="20">
        <f>AVERAGEIF(tblStudyData[Week_No],A54,tblStudyData[Attendance_Percentage])</f>
        <v>0.93200000000000005</v>
      </c>
      <c r="E54" s="20">
        <f>COUNTIFS(tblStudyData[Week_No],A54,tblStudyData[Assignment_Given],"Yes",tblStudyData[Assignment_Completed],"Yes")/COUNTIFS(tblStudyData[Week_No],A54,tblStudyData[Assignment_Given],"Yes")</f>
        <v>1</v>
      </c>
      <c r="F54" t="str">
        <f>IF(C54&gt;=80,"Excellent",IF(C54&gt;=60,"Good",IF(C54&gt;=40,"Average","Poor")))</f>
        <v>Excellent</v>
      </c>
    </row>
    <row r="55" spans="1:6" x14ac:dyDescent="0.3">
      <c r="A55">
        <v>32</v>
      </c>
      <c r="B55" s="21">
        <f>SUMIF(tblStudyData[Week_No],A55,tblStudyData[Actual_Study_Hours])</f>
        <v>116.5</v>
      </c>
      <c r="C55" s="21">
        <f>AVERAGEIF(tblStudyData[Week_No],A55,tblStudyData[Test_Score])</f>
        <v>80.93442622950819</v>
      </c>
      <c r="D55" s="20">
        <f>AVERAGEIF(tblStudyData[Week_No],A55,tblStudyData[Attendance_Percentage])</f>
        <v>0.89508196721311439</v>
      </c>
      <c r="E55" s="20">
        <f>COUNTIFS(tblStudyData[Week_No],A55,tblStudyData[Assignment_Given],"Yes",tblStudyData[Assignment_Completed],"Yes")/COUNTIFS(tblStudyData[Week_No],A55,tblStudyData[Assignment_Given],"Yes")</f>
        <v>0.98333333333333328</v>
      </c>
      <c r="F55" t="str">
        <f t="shared" ref="F55:F58" si="0">IF(C55&gt;=80,"Excellent",IF(C55&gt;=60,"Good",IF(C55&gt;=40,"Average","Poor")))</f>
        <v>Excellent</v>
      </c>
    </row>
    <row r="56" spans="1:6" x14ac:dyDescent="0.3">
      <c r="A56">
        <v>33</v>
      </c>
      <c r="B56" s="21">
        <f>SUMIF(tblStudyData[Week_No],A56,tblStudyData[Actual_Study_Hours])</f>
        <v>132.70000000000002</v>
      </c>
      <c r="C56" s="21">
        <f>AVERAGEIF(tblStudyData[Week_No],A56,tblStudyData[Test_Score])</f>
        <v>81.349206349206355</v>
      </c>
      <c r="D56" s="20">
        <f>AVERAGEIF(tblStudyData[Week_No],A56,tblStudyData[Attendance_Percentage])</f>
        <v>0.88317460317460328</v>
      </c>
      <c r="E56" s="20">
        <f>COUNTIFS(tblStudyData[Week_No],A56,tblStudyData[Assignment_Given],"Yes",tblStudyData[Assignment_Completed],"Yes")/COUNTIFS(tblStudyData[Week_No],A56,tblStudyData[Assignment_Given],"Yes")</f>
        <v>0.91935483870967738</v>
      </c>
      <c r="F56" t="str">
        <f t="shared" si="0"/>
        <v>Excellent</v>
      </c>
    </row>
    <row r="57" spans="1:6" x14ac:dyDescent="0.3">
      <c r="A57">
        <v>34</v>
      </c>
      <c r="B57" s="21">
        <f>SUMIF(tblStudyData[Week_No],A57,tblStudyData[Actual_Study_Hours])</f>
        <v>201.50000000000003</v>
      </c>
      <c r="C57" s="21">
        <f>AVERAGEIF(tblStudyData[Week_No],A57,tblStudyData[Test_Score])</f>
        <v>79.055555555555557</v>
      </c>
      <c r="D57" s="20">
        <f>AVERAGEIF(tblStudyData[Week_No],A57,tblStudyData[Attendance_Percentage])</f>
        <v>0.90033333333333321</v>
      </c>
      <c r="E57" s="20">
        <f>COUNTIFS(tblStudyData[Week_No],A57,tblStudyData[Assignment_Given],"Yes",tblStudyData[Assignment_Completed],"Yes")/COUNTIFS(tblStudyData[Week_No],A57,tblStudyData[Assignment_Given],"Yes")</f>
        <v>0.96666666666666667</v>
      </c>
      <c r="F57" t="str">
        <f t="shared" si="0"/>
        <v>Good</v>
      </c>
    </row>
    <row r="58" spans="1:6" x14ac:dyDescent="0.3">
      <c r="A58">
        <v>35</v>
      </c>
      <c r="B58" s="21">
        <f>SUMIF(tblStudyData[Week_No],A58,tblStudyData[Actual_Study_Hours])</f>
        <v>133.69999999999999</v>
      </c>
      <c r="C58" s="21">
        <f>AVERAGEIF(tblStudyData[Week_No],A58,tblStudyData[Test_Score])</f>
        <v>80.242424242424249</v>
      </c>
      <c r="D58" s="20">
        <f>AVERAGEIF(tblStudyData[Week_No],A58,tblStudyData[Attendance_Percentage])</f>
        <v>0.89848484848484822</v>
      </c>
      <c r="E58" s="20">
        <f>COUNTIFS(tblStudyData[Week_No],A58,tblStudyData[Assignment_Given],"Yes",tblStudyData[Assignment_Completed],"Yes")/COUNTIFS(tblStudyData[Week_No],A58,tblStudyData[Assignment_Given],"Yes")</f>
        <v>0.96923076923076923</v>
      </c>
      <c r="F58" t="str">
        <f t="shared" si="0"/>
        <v>Excellent</v>
      </c>
    </row>
    <row r="68" spans="1:7" x14ac:dyDescent="0.3">
      <c r="A68" t="s">
        <v>447</v>
      </c>
      <c r="B68" t="s">
        <v>448</v>
      </c>
      <c r="D68" t="s">
        <v>450</v>
      </c>
      <c r="E68" s="20">
        <f>AVERAGE(tblStudyData[Attendance_Percentage])</f>
        <v>0.8973666666666672</v>
      </c>
    </row>
    <row r="69" spans="1:7" x14ac:dyDescent="0.3">
      <c r="A69" t="s">
        <v>53</v>
      </c>
      <c r="B69">
        <f>COUNTIF(tblStudyData[Attendence_Status],A69)</f>
        <v>102</v>
      </c>
      <c r="D69" t="s">
        <v>451</v>
      </c>
      <c r="E69" s="20">
        <f>(B69+B70*80%)/B72</f>
        <v>0.58799999999999997</v>
      </c>
    </row>
    <row r="70" spans="1:7" x14ac:dyDescent="0.3">
      <c r="A70" t="s">
        <v>409</v>
      </c>
      <c r="B70">
        <f>COUNTIF(tblStudyData[Attendence_Status],A70)</f>
        <v>93</v>
      </c>
    </row>
    <row r="71" spans="1:7" x14ac:dyDescent="0.3">
      <c r="A71" t="s">
        <v>412</v>
      </c>
      <c r="B71">
        <f>COUNTIF(tblStudyData[Attendence_Status],A71)</f>
        <v>105</v>
      </c>
    </row>
    <row r="72" spans="1:7" x14ac:dyDescent="0.3">
      <c r="A72" t="s">
        <v>449</v>
      </c>
      <c r="B72">
        <f>SUM(B69:B71)</f>
        <v>300</v>
      </c>
    </row>
    <row r="75" spans="1:7" x14ac:dyDescent="0.3">
      <c r="A75" t="s">
        <v>2</v>
      </c>
      <c r="B75" t="s">
        <v>3</v>
      </c>
      <c r="C75" t="s">
        <v>53</v>
      </c>
      <c r="D75" t="s">
        <v>409</v>
      </c>
      <c r="E75" t="s">
        <v>412</v>
      </c>
      <c r="F75" t="s">
        <v>452</v>
      </c>
      <c r="G75" t="s">
        <v>453</v>
      </c>
    </row>
    <row r="76" spans="1:7" x14ac:dyDescent="0.3">
      <c r="A76" t="str" cm="1">
        <f t="array" ref="A76:A90">tblStudents[Student_ID]</f>
        <v>ST001</v>
      </c>
      <c r="B76" t="str" cm="1">
        <f t="array" ref="B76:B90">_xlfn.XLOOKUP(_xlfn.ANCHORARRAY(A76),tblStudents[Student_ID],tblStudents[Student_Name],"")</f>
        <v>Rahul</v>
      </c>
      <c r="C76">
        <f>COUNTIFS(tblStudyData[Student_ID],A76,tblStudyData[Attendence_Status],"Present")</f>
        <v>5</v>
      </c>
      <c r="D76">
        <f>COUNTIFS(tblStudyData[Student_ID],A76,tblStudyData[Attendence_Status],"Late")</f>
        <v>7</v>
      </c>
      <c r="E76">
        <f>COUNTIFS(tblStudyData[Student_ID],A76,tblStudyData[Attendence_Status],"Absent")</f>
        <v>8</v>
      </c>
      <c r="F76" s="20">
        <f>AVERAGEIF(tblStudyData[Student_ID],A76,tblStudyData[Attendance_Percentage])</f>
        <v>0.90399999999999991</v>
      </c>
      <c r="G76" t="str">
        <f>IF(F76&lt;75%,"At Risk",IF(A76&lt;90%,"Needs Improvement","Good"))</f>
        <v>Good</v>
      </c>
    </row>
    <row r="77" spans="1:7" x14ac:dyDescent="0.3">
      <c r="A77" t="str">
        <v>ST002</v>
      </c>
      <c r="B77" t="str">
        <v>Priya</v>
      </c>
      <c r="C77">
        <f>COUNTIFS(tblStudyData[Student_ID],A77,tblStudyData[Attendence_Status],"Present")</f>
        <v>5</v>
      </c>
      <c r="F77" s="20">
        <f>AVERAGEIF(tblStudyData[Student_ID],A77,tblStudyData[Attendance_Percentage])</f>
        <v>0.88312500000000016</v>
      </c>
      <c r="G77" t="str">
        <f t="shared" ref="G77:G90" si="1">IF(F77&lt;75%,"At Risk",IF(A77&lt;90%,"Needs Improvement","Good"))</f>
        <v>Good</v>
      </c>
    </row>
    <row r="78" spans="1:7" x14ac:dyDescent="0.3">
      <c r="A78" t="str">
        <v>ST003</v>
      </c>
      <c r="B78" t="str">
        <v>Arjun</v>
      </c>
      <c r="C78">
        <f>COUNTIFS(tblStudyData[Student_ID],A78,tblStudyData[Attendence_Status],"Present")</f>
        <v>10</v>
      </c>
      <c r="F78" s="20">
        <f>AVERAGEIF(tblStudyData[Student_ID],A78,tblStudyData[Attendance_Percentage])</f>
        <v>0.93909090909090931</v>
      </c>
      <c r="G78" t="str">
        <f t="shared" si="1"/>
        <v>Good</v>
      </c>
    </row>
    <row r="79" spans="1:7" x14ac:dyDescent="0.3">
      <c r="A79" t="str">
        <v>ST004</v>
      </c>
      <c r="B79" t="str">
        <v>Sneha</v>
      </c>
      <c r="C79">
        <f>COUNTIFS(tblStudyData[Student_ID],A79,tblStudyData[Attendence_Status],"Present")</f>
        <v>5</v>
      </c>
      <c r="F79" s="20">
        <f>AVERAGEIF(tblStudyData[Student_ID],A79,tblStudyData[Attendance_Percentage])</f>
        <v>0.89642857142857146</v>
      </c>
      <c r="G79" t="str">
        <f t="shared" si="1"/>
        <v>Good</v>
      </c>
    </row>
    <row r="80" spans="1:7" x14ac:dyDescent="0.3">
      <c r="A80" t="str">
        <v>ST005</v>
      </c>
      <c r="B80" t="str">
        <v>Kiran</v>
      </c>
      <c r="C80">
        <f>COUNTIFS(tblStudyData[Student_ID],A80,tblStudyData[Attendence_Status],"Present")</f>
        <v>6</v>
      </c>
      <c r="F80" s="20">
        <f>AVERAGEIF(tblStudyData[Student_ID],A80,tblStudyData[Attendance_Percentage])</f>
        <v>0.88124999999999998</v>
      </c>
      <c r="G80" t="str">
        <f t="shared" si="1"/>
        <v>Good</v>
      </c>
    </row>
    <row r="81" spans="1:7" x14ac:dyDescent="0.3">
      <c r="A81" t="str">
        <v>ST006</v>
      </c>
      <c r="B81" t="str">
        <v>Anjali</v>
      </c>
      <c r="C81">
        <f>COUNTIFS(tblStudyData[Student_ID],A81,tblStudyData[Attendence_Status],"Present")</f>
        <v>11</v>
      </c>
      <c r="F81" s="20">
        <f>AVERAGEIF(tblStudyData[Student_ID],A81,tblStudyData[Attendance_Percentage])</f>
        <v>0.90656250000000016</v>
      </c>
      <c r="G81" t="str">
        <f t="shared" si="1"/>
        <v>Good</v>
      </c>
    </row>
    <row r="82" spans="1:7" x14ac:dyDescent="0.3">
      <c r="A82" t="str">
        <v>ST007</v>
      </c>
      <c r="B82" t="str">
        <v>Rohit</v>
      </c>
      <c r="C82">
        <f>COUNTIFS(tblStudyData[Student_ID],A82,tblStudyData[Attendence_Status],"Present")</f>
        <v>4</v>
      </c>
      <c r="F82" s="20">
        <f>AVERAGEIF(tblStudyData[Student_ID],A82,tblStudyData[Attendance_Percentage])</f>
        <v>0.90666666666666673</v>
      </c>
      <c r="G82" t="str">
        <f t="shared" si="1"/>
        <v>Good</v>
      </c>
    </row>
    <row r="83" spans="1:7" x14ac:dyDescent="0.3">
      <c r="A83" t="str">
        <v>ST008</v>
      </c>
      <c r="B83" t="str">
        <v>Divya</v>
      </c>
      <c r="C83">
        <f>COUNTIFS(tblStudyData[Student_ID],A83,tblStudyData[Attendence_Status],"Present")</f>
        <v>4</v>
      </c>
      <c r="F83" s="20">
        <f>AVERAGEIF(tblStudyData[Student_ID],A83,tblStudyData[Attendance_Percentage])</f>
        <v>0.86421052631578954</v>
      </c>
      <c r="G83" t="str">
        <f t="shared" si="1"/>
        <v>Good</v>
      </c>
    </row>
    <row r="84" spans="1:7" x14ac:dyDescent="0.3">
      <c r="A84" t="str">
        <v>ST009</v>
      </c>
      <c r="B84" t="str">
        <v>Vikaram</v>
      </c>
      <c r="C84">
        <f>COUNTIFS(tblStudyData[Student_ID],A84,tblStudyData[Attendence_Status],"Present")</f>
        <v>8</v>
      </c>
      <c r="F84" s="20">
        <f>AVERAGEIF(tblStudyData[Student_ID],A84,tblStudyData[Attendance_Percentage])</f>
        <v>0.88166666666666682</v>
      </c>
      <c r="G84" t="str">
        <f t="shared" si="1"/>
        <v>Good</v>
      </c>
    </row>
    <row r="85" spans="1:7" x14ac:dyDescent="0.3">
      <c r="A85" t="str">
        <v>ST010</v>
      </c>
      <c r="B85" t="str">
        <v>Neha</v>
      </c>
      <c r="C85">
        <f>COUNTIFS(tblStudyData[Student_ID],A85,tblStudyData[Attendence_Status],"Present")</f>
        <v>10</v>
      </c>
      <c r="F85" s="20">
        <f>AVERAGEIF(tblStudyData[Student_ID],A85,tblStudyData[Attendance_Percentage])</f>
        <v>0.93260869565217386</v>
      </c>
      <c r="G85" t="str">
        <f t="shared" si="1"/>
        <v>Good</v>
      </c>
    </row>
    <row r="86" spans="1:7" x14ac:dyDescent="0.3">
      <c r="A86" t="str">
        <v>ST011</v>
      </c>
      <c r="B86" t="str">
        <v>Sai</v>
      </c>
      <c r="C86">
        <f>COUNTIFS(tblStudyData[Student_ID],A86,tblStudyData[Attendence_Status],"Present")</f>
        <v>8</v>
      </c>
      <c r="F86" s="20">
        <f>AVERAGEIF(tblStudyData[Student_ID],A86,tblStudyData[Attendance_Percentage])</f>
        <v>0.89500000000000024</v>
      </c>
      <c r="G86" t="str">
        <f t="shared" si="1"/>
        <v>Good</v>
      </c>
    </row>
    <row r="87" spans="1:7" x14ac:dyDescent="0.3">
      <c r="A87" t="str">
        <v>ST012</v>
      </c>
      <c r="B87" t="str">
        <v>Pooja</v>
      </c>
      <c r="C87">
        <f>COUNTIFS(tblStudyData[Student_ID],A87,tblStudyData[Attendence_Status],"Present")</f>
        <v>9</v>
      </c>
      <c r="F87" s="20">
        <f>AVERAGEIF(tblStudyData[Student_ID],A87,tblStudyData[Attendance_Percentage])</f>
        <v>0.9104347826086957</v>
      </c>
      <c r="G87" t="str">
        <f t="shared" si="1"/>
        <v>Good</v>
      </c>
    </row>
    <row r="88" spans="1:7" x14ac:dyDescent="0.3">
      <c r="A88" t="str">
        <v>ST013</v>
      </c>
      <c r="B88" t="str">
        <v>Naveen</v>
      </c>
      <c r="C88">
        <f>COUNTIFS(tblStudyData[Student_ID],A88,tblStudyData[Attendence_Status],"Present")</f>
        <v>5</v>
      </c>
      <c r="F88" s="20">
        <f>AVERAGEIF(tblStudyData[Student_ID],A88,tblStudyData[Attendance_Percentage])</f>
        <v>0.86722222222222234</v>
      </c>
      <c r="G88" t="str">
        <f t="shared" si="1"/>
        <v>Good</v>
      </c>
    </row>
    <row r="89" spans="1:7" x14ac:dyDescent="0.3">
      <c r="A89" t="str">
        <v>ST014</v>
      </c>
      <c r="B89" t="str">
        <v>Kavya</v>
      </c>
      <c r="C89">
        <f>COUNTIFS(tblStudyData[Student_ID],A89,tblStudyData[Attendence_Status],"Present")</f>
        <v>7</v>
      </c>
      <c r="F89" s="20">
        <f>AVERAGEIF(tblStudyData[Student_ID],A89,tblStudyData[Attendance_Percentage])</f>
        <v>0.91705882352941182</v>
      </c>
      <c r="G89" t="str">
        <f t="shared" si="1"/>
        <v>Good</v>
      </c>
    </row>
    <row r="90" spans="1:7" x14ac:dyDescent="0.3">
      <c r="A90" t="str">
        <v>ST015</v>
      </c>
      <c r="B90" t="str">
        <v>Akhil</v>
      </c>
      <c r="C90">
        <f>COUNTIFS(tblStudyData[Student_ID],A90,tblStudyData[Attendence_Status],"Present")</f>
        <v>5</v>
      </c>
      <c r="F90" s="20">
        <f>AVERAGEIF(tblStudyData[Student_ID],A90,tblStudyData[Attendance_Percentage])</f>
        <v>0.85368421052631571</v>
      </c>
      <c r="G90" t="str">
        <f t="shared" si="1"/>
        <v>Good</v>
      </c>
    </row>
    <row r="94" spans="1:7" x14ac:dyDescent="0.3">
      <c r="A94" t="s">
        <v>7</v>
      </c>
      <c r="B94" t="s">
        <v>53</v>
      </c>
      <c r="C94" t="s">
        <v>409</v>
      </c>
      <c r="D94" t="s">
        <v>412</v>
      </c>
      <c r="E94" t="s">
        <v>454</v>
      </c>
      <c r="F94" t="s">
        <v>455</v>
      </c>
      <c r="G94" t="s">
        <v>456</v>
      </c>
    </row>
    <row r="95" spans="1:7" x14ac:dyDescent="0.3">
      <c r="A95" t="str" cm="1">
        <f t="array" ref="A95:A100">tblSubjects[Subjects]</f>
        <v>Mathematics</v>
      </c>
      <c r="B95">
        <f>COUNTIFS(tblStudyData[Subject],A95,tblStudyData[Attendence_Status],"Present")</f>
        <v>19</v>
      </c>
      <c r="C95">
        <f>COUNTIFS(tblStudyData[Subject],A95,tblStudyData[Attendence_Status],"Late")</f>
        <v>18</v>
      </c>
      <c r="D95">
        <f>COUNTIFS(tblStudyData[Subject],A95,tblStudyData[Attendence_Status],"Absent")</f>
        <v>20</v>
      </c>
      <c r="E95" s="20">
        <f>AVERAGEIF(tblStudyData[Subject],A95,tblStudyData[Attendance_Percentage])</f>
        <v>0.90298245614035089</v>
      </c>
      <c r="F95" cm="1">
        <f t="array" ref="F95">COUNTA(_xlfn.UNIQUE(_xlfn._xlws.FILTER(tblStudyData[Student_ID],tblStudyData[Subject]=A95)))</f>
        <v>15</v>
      </c>
      <c r="G95" t="str">
        <f>IF(E95&lt;75%,"At Risk",IF(E95&lt;90%,"Needs Improvement","Good"))</f>
        <v>Good</v>
      </c>
    </row>
    <row r="96" spans="1:7" x14ac:dyDescent="0.3">
      <c r="A96" t="str">
        <v>Physics</v>
      </c>
      <c r="B96">
        <f>COUNTIFS(tblStudyData[Subject],A96,tblStudyData[Attendence_Status],"Present")</f>
        <v>19</v>
      </c>
      <c r="C96">
        <f>COUNTIFS(tblStudyData[Subject],A96,tblStudyData[Attendence_Status],"Late")</f>
        <v>20</v>
      </c>
      <c r="D96">
        <f>COUNTIFS(tblStudyData[Subject],A96,tblStudyData[Attendence_Status],"Absent")</f>
        <v>21</v>
      </c>
      <c r="E96" s="20">
        <f>AVERAGEIF(tblStudyData[Subject],A96,tblStudyData[Attendance_Percentage])</f>
        <v>0.89283333333333348</v>
      </c>
      <c r="F96" cm="1">
        <f t="array" ref="F96">COUNTA(_xlfn.UNIQUE(_xlfn._xlws.FILTER(tblStudyData[Student_ID],tblStudyData[Subject]=A96)))</f>
        <v>15</v>
      </c>
      <c r="G96" t="str">
        <f t="shared" ref="G96:G100" si="2">IF(E96&lt;75%,"At Risk",IF(E96&lt;90%,"Needs Improvement","Good"))</f>
        <v>Needs Improvement</v>
      </c>
    </row>
    <row r="97" spans="1:9" x14ac:dyDescent="0.3">
      <c r="A97" t="str">
        <v>Chemistry</v>
      </c>
      <c r="B97">
        <f>COUNTIFS(tblStudyData[Subject],A97,tblStudyData[Attendence_Status],"Present")</f>
        <v>17</v>
      </c>
      <c r="C97">
        <f>COUNTIFS(tblStudyData[Subject],A97,tblStudyData[Attendence_Status],"Late")</f>
        <v>16</v>
      </c>
      <c r="D97">
        <f>COUNTIFS(tblStudyData[Subject],A97,tblStudyData[Attendence_Status],"Absent")</f>
        <v>17</v>
      </c>
      <c r="E97" s="20">
        <f>AVERAGEIF(tblStudyData[Subject],A97,tblStudyData[Attendance_Percentage])</f>
        <v>0.89920000000000011</v>
      </c>
      <c r="F97" cm="1">
        <f t="array" ref="F97">COUNTA(_xlfn.UNIQUE(_xlfn._xlws.FILTER(tblStudyData[Student_ID],tblStudyData[Subject]=A97)))</f>
        <v>15</v>
      </c>
      <c r="G97" t="str">
        <f t="shared" si="2"/>
        <v>Needs Improvement</v>
      </c>
    </row>
    <row r="98" spans="1:9" x14ac:dyDescent="0.3">
      <c r="A98" t="str">
        <v>English</v>
      </c>
      <c r="B98">
        <f>COUNTIFS(tblStudyData[Subject],A98,tblStudyData[Attendence_Status],"Present")</f>
        <v>21</v>
      </c>
      <c r="C98">
        <f>COUNTIFS(tblStudyData[Subject],A98,tblStudyData[Attendence_Status],"Late")</f>
        <v>21</v>
      </c>
      <c r="D98">
        <f>COUNTIFS(tblStudyData[Subject],A98,tblStudyData[Attendence_Status],"Absent")</f>
        <v>26</v>
      </c>
      <c r="E98" s="20">
        <f>AVERAGEIF(tblStudyData[Subject],A98,tblStudyData[Attendance_Percentage])</f>
        <v>0.88911764705882346</v>
      </c>
      <c r="F98" cm="1">
        <f t="array" ref="F98">COUNTA(_xlfn.UNIQUE(_xlfn._xlws.FILTER(tblStudyData[Student_ID],tblStudyData[Subject]=A98)))</f>
        <v>15</v>
      </c>
      <c r="G98" t="str">
        <f t="shared" si="2"/>
        <v>Needs Improvement</v>
      </c>
    </row>
    <row r="99" spans="1:9" x14ac:dyDescent="0.3">
      <c r="A99" t="str">
        <v>Computer Science</v>
      </c>
      <c r="B99">
        <f>COUNTIFS(tblStudyData[Subject],A99,tblStudyData[Attendence_Status],"Present")</f>
        <v>11</v>
      </c>
      <c r="C99">
        <f>COUNTIFS(tblStudyData[Subject],A99,tblStudyData[Attendence_Status],"Late")</f>
        <v>8</v>
      </c>
      <c r="D99">
        <f>COUNTIFS(tblStudyData[Subject],A99,tblStudyData[Attendence_Status],"Absent")</f>
        <v>10</v>
      </c>
      <c r="E99" s="20">
        <f>AVERAGEIF(tblStudyData[Subject],A99,tblStudyData[Attendance_Percentage])</f>
        <v>0.90517241379310343</v>
      </c>
      <c r="F99" cm="1">
        <f t="array" ref="F99">COUNTA(_xlfn.UNIQUE(_xlfn._xlws.FILTER(tblStudyData[Student_ID],tblStudyData[Subject]=A99)))</f>
        <v>15</v>
      </c>
      <c r="G99" t="str">
        <f t="shared" si="2"/>
        <v>Good</v>
      </c>
    </row>
    <row r="100" spans="1:9" x14ac:dyDescent="0.3">
      <c r="A100" t="str">
        <v>Biology</v>
      </c>
      <c r="B100">
        <f>COUNTIFS(tblStudyData[Subject],A100,tblStudyData[Attendence_Status],"Present")</f>
        <v>15</v>
      </c>
      <c r="C100">
        <f>COUNTIFS(tblStudyData[Subject],A100,tblStudyData[Attendence_Status],"Late")</f>
        <v>10</v>
      </c>
      <c r="D100">
        <f>COUNTIFS(tblStudyData[Subject],A100,tblStudyData[Attendence_Status],"Absent")</f>
        <v>11</v>
      </c>
      <c r="E100" s="20">
        <f>AVERAGEIF(tblStudyData[Subject],A100,tblStudyData[Attendance_Percentage])</f>
        <v>0.90277777777777779</v>
      </c>
      <c r="F100" cm="1">
        <f t="array" ref="F100">COUNTA(_xlfn.UNIQUE(_xlfn._xlws.FILTER(tblStudyData[Student_ID],tblStudyData[Subject]=A100)))</f>
        <v>15</v>
      </c>
      <c r="G100" t="str">
        <f t="shared" si="2"/>
        <v>Good</v>
      </c>
    </row>
    <row r="106" spans="1:9" ht="18.600000000000001" customHeight="1" x14ac:dyDescent="0.3"/>
    <row r="107" spans="1:9" ht="16.8" customHeight="1" x14ac:dyDescent="0.3">
      <c r="A107" s="104" t="s">
        <v>463</v>
      </c>
      <c r="B107" s="104"/>
      <c r="H107" s="104" t="s">
        <v>473</v>
      </c>
      <c r="I107" s="104"/>
    </row>
    <row r="108" spans="1:9" x14ac:dyDescent="0.3">
      <c r="A108" t="s">
        <v>457</v>
      </c>
      <c r="B108" t="s">
        <v>458</v>
      </c>
      <c r="H108" t="s">
        <v>467</v>
      </c>
      <c r="I108" t="s">
        <v>94</v>
      </c>
    </row>
    <row r="109" spans="1:9" x14ac:dyDescent="0.3">
      <c r="A109" t="s">
        <v>443</v>
      </c>
      <c r="B109">
        <f>AVERAGE(tblStudyData[Test_Score])</f>
        <v>80.473333333333329</v>
      </c>
      <c r="H109" t="s">
        <v>468</v>
      </c>
      <c r="I109">
        <f>COUNTIFS(tblStudyData[Test_Score],"&gt;=0",tblStudyData[Test_Score],"&lt;=39")</f>
        <v>0</v>
      </c>
    </row>
    <row r="110" spans="1:9" x14ac:dyDescent="0.3">
      <c r="A110" t="s">
        <v>459</v>
      </c>
      <c r="B110">
        <f>MAX(tblStudyData[Test_Score])</f>
        <v>100</v>
      </c>
      <c r="H110" t="s">
        <v>469</v>
      </c>
      <c r="I110">
        <f>COUNTIFS(tblStudyData[Test_Score],"&gt;=40",tblStudyData[Test_Score],"&lt;=59")</f>
        <v>6</v>
      </c>
    </row>
    <row r="111" spans="1:9" x14ac:dyDescent="0.3">
      <c r="A111" t="s">
        <v>460</v>
      </c>
      <c r="B111">
        <f>MIN(tblStudyData[Test_Score])</f>
        <v>40</v>
      </c>
      <c r="H111" t="s">
        <v>470</v>
      </c>
      <c r="I111">
        <f>COUNTIFS(tblStudyData[Test_Score],"&gt;=60",tblStudyData[Test_Score],"&lt;=79")</f>
        <v>127</v>
      </c>
    </row>
    <row r="112" spans="1:9" x14ac:dyDescent="0.3">
      <c r="A112" t="s">
        <v>461</v>
      </c>
      <c r="B112">
        <f>COUNTIF(tblStudyData[Test_Score],"&gt;=40")</f>
        <v>300</v>
      </c>
      <c r="H112" t="s">
        <v>471</v>
      </c>
      <c r="I112">
        <f>COUNTIFS(tblStudyData[Test_Score],"&gt;=80",tblStudyData[Test_Score],"&lt;=89")</f>
        <v>119</v>
      </c>
    </row>
    <row r="113" spans="1:9" x14ac:dyDescent="0.3">
      <c r="A113" t="s">
        <v>462</v>
      </c>
      <c r="B113">
        <f>COUNTIF(tblStudyData[Test_Score],"&lt;40")</f>
        <v>0</v>
      </c>
      <c r="H113" t="s">
        <v>472</v>
      </c>
      <c r="I113">
        <f>COUNTIFS(tblStudyData[Test_Score],"&gt;=90",tblStudyData[Test_Score],"&lt;=100")</f>
        <v>48</v>
      </c>
    </row>
    <row r="115" spans="1:9" x14ac:dyDescent="0.3">
      <c r="A115" s="104" t="s">
        <v>464</v>
      </c>
      <c r="B115" s="104"/>
      <c r="C115" s="104"/>
      <c r="D115" s="104"/>
      <c r="E115" s="104"/>
      <c r="F115" s="104"/>
    </row>
    <row r="116" spans="1:9" x14ac:dyDescent="0.3">
      <c r="A116" t="s">
        <v>2</v>
      </c>
      <c r="B116" t="s">
        <v>3</v>
      </c>
      <c r="C116" t="s">
        <v>465</v>
      </c>
      <c r="D116" t="s">
        <v>459</v>
      </c>
      <c r="E116" t="s">
        <v>460</v>
      </c>
      <c r="F116" t="s">
        <v>456</v>
      </c>
    </row>
    <row r="117" spans="1:9" x14ac:dyDescent="0.3">
      <c r="A117" t="str" cm="1">
        <f t="array" ref="A117:A131">tblStudents[Student_ID]</f>
        <v>ST001</v>
      </c>
      <c r="B117" t="str" cm="1">
        <f t="array" ref="B117:B131">_xlfn.XLOOKUP(_xlfn.ANCHORARRAY(A117),tblStudents[Student_ID],tblStudents[Student_Name],"")</f>
        <v>Rahul</v>
      </c>
      <c r="C117" s="21">
        <f>AVERAGEIF(tblStudyData[Student_ID],A117,tblStudyData[Test_Score])</f>
        <v>79.5</v>
      </c>
      <c r="D117">
        <f>_xlfn.MAXIFS(tblStudyData[Test_Score],tblStudyData[Student_ID],A117)</f>
        <v>94</v>
      </c>
      <c r="E117">
        <f>_xlfn.MINIFS(tblStudyData[Test_Score],tblStudyData[Student_ID],A117)</f>
        <v>45</v>
      </c>
      <c r="F117" t="str">
        <f>IF(C117&gt;=80,"Excellent",IF(C117&gt;=60,"Good",IF(C117&gt;=40,"Average","Poor")))</f>
        <v>Good</v>
      </c>
    </row>
    <row r="118" spans="1:9" x14ac:dyDescent="0.3">
      <c r="A118" t="str">
        <v>ST002</v>
      </c>
      <c r="B118" t="str">
        <v>Priya</v>
      </c>
      <c r="C118" s="21">
        <f>AVERAGEIF(tblStudyData[Student_ID],A118,tblStudyData[Test_Score])</f>
        <v>82.6875</v>
      </c>
      <c r="D118">
        <f>_xlfn.MAXIFS(tblStudyData[Test_Score],tblStudyData[Student_ID],A118)</f>
        <v>93</v>
      </c>
      <c r="E118">
        <f>_xlfn.MINIFS(tblStudyData[Test_Score],tblStudyData[Student_ID],A118)</f>
        <v>67</v>
      </c>
      <c r="F118" t="str">
        <f t="shared" ref="F118:F131" si="3">IF(C118&gt;=80,"Excellent",IF(C118&gt;=60,"Good",IF(C118&gt;=40,"Average","Poor")))</f>
        <v>Excellent</v>
      </c>
    </row>
    <row r="119" spans="1:9" x14ac:dyDescent="0.3">
      <c r="A119" t="str">
        <v>ST003</v>
      </c>
      <c r="B119" t="str">
        <v>Arjun</v>
      </c>
      <c r="C119" s="21">
        <f>AVERAGEIF(tblStudyData[Student_ID],A119,tblStudyData[Test_Score])</f>
        <v>77.63636363636364</v>
      </c>
      <c r="D119">
        <f>_xlfn.MAXIFS(tblStudyData[Test_Score],tblStudyData[Student_ID],A119)</f>
        <v>89</v>
      </c>
      <c r="E119">
        <f>_xlfn.MINIFS(tblStudyData[Test_Score],tblStudyData[Student_ID],A119)</f>
        <v>55</v>
      </c>
      <c r="F119" t="str">
        <f t="shared" si="3"/>
        <v>Good</v>
      </c>
    </row>
    <row r="120" spans="1:9" x14ac:dyDescent="0.3">
      <c r="A120" t="str">
        <v>ST004</v>
      </c>
      <c r="B120" t="str">
        <v>Sneha</v>
      </c>
      <c r="C120" s="21">
        <f>AVERAGEIF(tblStudyData[Student_ID],A120,tblStudyData[Test_Score])</f>
        <v>75.928571428571431</v>
      </c>
      <c r="D120">
        <f>_xlfn.MAXIFS(tblStudyData[Test_Score],tblStudyData[Student_ID],A120)</f>
        <v>94</v>
      </c>
      <c r="E120">
        <f>_xlfn.MINIFS(tblStudyData[Test_Score],tblStudyData[Student_ID],A120)</f>
        <v>45</v>
      </c>
      <c r="F120" t="str">
        <f t="shared" si="3"/>
        <v>Good</v>
      </c>
    </row>
    <row r="121" spans="1:9" x14ac:dyDescent="0.3">
      <c r="A121" t="str">
        <v>ST005</v>
      </c>
      <c r="B121" t="str">
        <v>Kiran</v>
      </c>
      <c r="C121" s="21">
        <f>AVERAGEIF(tblStudyData[Student_ID],A121,tblStudyData[Test_Score])</f>
        <v>80.375</v>
      </c>
      <c r="D121">
        <f>_xlfn.MAXIFS(tblStudyData[Test_Score],tblStudyData[Student_ID],A121)</f>
        <v>93</v>
      </c>
      <c r="E121">
        <f>_xlfn.MINIFS(tblStudyData[Test_Score],tblStudyData[Student_ID],A121)</f>
        <v>62</v>
      </c>
      <c r="F121" t="str">
        <f t="shared" si="3"/>
        <v>Excellent</v>
      </c>
    </row>
    <row r="122" spans="1:9" x14ac:dyDescent="0.3">
      <c r="A122" t="str">
        <v>ST006</v>
      </c>
      <c r="B122" t="str">
        <v>Anjali</v>
      </c>
      <c r="C122" s="21">
        <f>AVERAGEIF(tblStudyData[Student_ID],A122,tblStudyData[Test_Score])</f>
        <v>79.09375</v>
      </c>
      <c r="D122">
        <f>_xlfn.MAXIFS(tblStudyData[Test_Score],tblStudyData[Student_ID],A122)</f>
        <v>100</v>
      </c>
      <c r="E122">
        <f>_xlfn.MINIFS(tblStudyData[Test_Score],tblStudyData[Student_ID],A122)</f>
        <v>61</v>
      </c>
      <c r="F122" t="str">
        <f t="shared" si="3"/>
        <v>Good</v>
      </c>
    </row>
    <row r="123" spans="1:9" x14ac:dyDescent="0.3">
      <c r="A123" t="str">
        <v>ST007</v>
      </c>
      <c r="B123" t="str">
        <v>Rohit</v>
      </c>
      <c r="C123" s="21">
        <f>AVERAGEIF(tblStudyData[Student_ID],A123,tblStudyData[Test_Score])</f>
        <v>83.266666666666666</v>
      </c>
      <c r="D123">
        <f>_xlfn.MAXIFS(tblStudyData[Test_Score],tblStudyData[Student_ID],A123)</f>
        <v>95</v>
      </c>
      <c r="E123">
        <f>_xlfn.MINIFS(tblStudyData[Test_Score],tblStudyData[Student_ID],A123)</f>
        <v>61</v>
      </c>
      <c r="F123" t="str">
        <f t="shared" si="3"/>
        <v>Excellent</v>
      </c>
    </row>
    <row r="124" spans="1:9" x14ac:dyDescent="0.3">
      <c r="A124" t="str">
        <v>ST008</v>
      </c>
      <c r="B124" t="str">
        <v>Divya</v>
      </c>
      <c r="C124" s="21">
        <f>AVERAGEIF(tblStudyData[Student_ID],A124,tblStudyData[Test_Score])</f>
        <v>81.578947368421055</v>
      </c>
      <c r="D124">
        <f>_xlfn.MAXIFS(tblStudyData[Test_Score],tblStudyData[Student_ID],A124)</f>
        <v>95</v>
      </c>
      <c r="E124">
        <f>_xlfn.MINIFS(tblStudyData[Test_Score],tblStudyData[Student_ID],A124)</f>
        <v>72</v>
      </c>
      <c r="F124" t="str">
        <f t="shared" si="3"/>
        <v>Excellent</v>
      </c>
    </row>
    <row r="125" spans="1:9" x14ac:dyDescent="0.3">
      <c r="A125" t="str">
        <v>ST009</v>
      </c>
      <c r="B125" t="str">
        <v>Vikaram</v>
      </c>
      <c r="C125" s="21">
        <f>AVERAGEIF(tblStudyData[Student_ID],A125,tblStudyData[Test_Score])</f>
        <v>81.791666666666671</v>
      </c>
      <c r="D125">
        <f>_xlfn.MAXIFS(tblStudyData[Test_Score],tblStudyData[Student_ID],A125)</f>
        <v>97</v>
      </c>
      <c r="E125">
        <f>_xlfn.MINIFS(tblStudyData[Test_Score],tblStudyData[Student_ID],A125)</f>
        <v>61</v>
      </c>
      <c r="F125" t="str">
        <f t="shared" si="3"/>
        <v>Excellent</v>
      </c>
    </row>
    <row r="126" spans="1:9" x14ac:dyDescent="0.3">
      <c r="A126" t="str">
        <v>ST010</v>
      </c>
      <c r="B126" t="str">
        <v>Neha</v>
      </c>
      <c r="C126" s="21">
        <f>AVERAGEIF(tblStudyData[Student_ID],A126,tblStudyData[Test_Score])</f>
        <v>81.086956521739125</v>
      </c>
      <c r="D126">
        <f>_xlfn.MAXIFS(tblStudyData[Test_Score],tblStudyData[Student_ID],A126)</f>
        <v>93</v>
      </c>
      <c r="E126">
        <f>_xlfn.MINIFS(tblStudyData[Test_Score],tblStudyData[Student_ID],A126)</f>
        <v>62</v>
      </c>
      <c r="F126" t="str">
        <f t="shared" si="3"/>
        <v>Excellent</v>
      </c>
    </row>
    <row r="127" spans="1:9" x14ac:dyDescent="0.3">
      <c r="A127" t="str">
        <v>ST011</v>
      </c>
      <c r="B127" t="str">
        <v>Sai</v>
      </c>
      <c r="C127" s="21">
        <f>AVERAGEIF(tblStudyData[Student_ID],A127,tblStudyData[Test_Score])</f>
        <v>77.045454545454547</v>
      </c>
      <c r="D127">
        <f>_xlfn.MAXIFS(tblStudyData[Test_Score],tblStudyData[Student_ID],A127)</f>
        <v>95</v>
      </c>
      <c r="E127">
        <f>_xlfn.MINIFS(tblStudyData[Test_Score],tblStudyData[Student_ID],A127)</f>
        <v>40</v>
      </c>
      <c r="F127" t="str">
        <f t="shared" si="3"/>
        <v>Good</v>
      </c>
    </row>
    <row r="128" spans="1:9" x14ac:dyDescent="0.3">
      <c r="A128" t="str">
        <v>ST012</v>
      </c>
      <c r="B128" t="str">
        <v>Pooja</v>
      </c>
      <c r="C128" s="21">
        <f>AVERAGEIF(tblStudyData[Student_ID],A128,tblStudyData[Test_Score])</f>
        <v>81.173913043478265</v>
      </c>
      <c r="D128">
        <f>_xlfn.MAXIFS(tblStudyData[Test_Score],tblStudyData[Student_ID],A128)</f>
        <v>99</v>
      </c>
      <c r="E128">
        <f>_xlfn.MINIFS(tblStudyData[Test_Score],tblStudyData[Student_ID],A128)</f>
        <v>45</v>
      </c>
      <c r="F128" t="str">
        <f t="shared" si="3"/>
        <v>Excellent</v>
      </c>
    </row>
    <row r="129" spans="1:6" x14ac:dyDescent="0.3">
      <c r="A129" t="str">
        <v>ST013</v>
      </c>
      <c r="B129" t="str">
        <v>Naveen</v>
      </c>
      <c r="C129" s="21">
        <f>AVERAGEIF(tblStudyData[Student_ID],A129,tblStudyData[Test_Score])</f>
        <v>83.777777777777771</v>
      </c>
      <c r="D129">
        <f>_xlfn.MAXIFS(tblStudyData[Test_Score],tblStudyData[Student_ID],A129)</f>
        <v>97</v>
      </c>
      <c r="E129">
        <f>_xlfn.MINIFS(tblStudyData[Test_Score],tblStudyData[Student_ID],A129)</f>
        <v>67</v>
      </c>
      <c r="F129" t="str">
        <f t="shared" si="3"/>
        <v>Excellent</v>
      </c>
    </row>
    <row r="130" spans="1:6" x14ac:dyDescent="0.3">
      <c r="A130" t="str">
        <v>ST014</v>
      </c>
      <c r="B130" t="str">
        <v>Kavya</v>
      </c>
      <c r="C130" s="21">
        <f>AVERAGEIF(tblStudyData[Student_ID],A130,tblStudyData[Test_Score])</f>
        <v>80.411764705882348</v>
      </c>
      <c r="D130">
        <f>_xlfn.MAXIFS(tblStudyData[Test_Score],tblStudyData[Student_ID],A130)</f>
        <v>95</v>
      </c>
      <c r="E130">
        <f>_xlfn.MINIFS(tblStudyData[Test_Score],tblStudyData[Student_ID],A130)</f>
        <v>69</v>
      </c>
      <c r="F130" t="str">
        <f t="shared" si="3"/>
        <v>Excellent</v>
      </c>
    </row>
    <row r="131" spans="1:6" x14ac:dyDescent="0.3">
      <c r="A131" t="str">
        <v>ST015</v>
      </c>
      <c r="B131" t="str">
        <v>Akhil</v>
      </c>
      <c r="C131" s="21">
        <f>AVERAGEIF(tblStudyData[Student_ID],A131,tblStudyData[Test_Score])</f>
        <v>83</v>
      </c>
      <c r="D131">
        <f>_xlfn.MAXIFS(tblStudyData[Test_Score],tblStudyData[Student_ID],A131)</f>
        <v>95</v>
      </c>
      <c r="E131">
        <f>_xlfn.MINIFS(tblStudyData[Test_Score],tblStudyData[Student_ID],A131)</f>
        <v>66</v>
      </c>
      <c r="F131" t="str">
        <f t="shared" si="3"/>
        <v>Excellent</v>
      </c>
    </row>
    <row r="133" spans="1:6" x14ac:dyDescent="0.3">
      <c r="A133" s="101" t="s">
        <v>466</v>
      </c>
      <c r="B133" s="101"/>
      <c r="C133" s="101"/>
      <c r="D133" s="101"/>
      <c r="E133" s="101"/>
      <c r="F133" s="101"/>
    </row>
    <row r="134" spans="1:6" x14ac:dyDescent="0.3">
      <c r="A134" t="s">
        <v>5</v>
      </c>
      <c r="B134" t="s">
        <v>94</v>
      </c>
      <c r="C134" t="s">
        <v>443</v>
      </c>
      <c r="D134" t="s">
        <v>428</v>
      </c>
      <c r="E134" t="s">
        <v>461</v>
      </c>
      <c r="F134" t="s">
        <v>456</v>
      </c>
    </row>
    <row r="135" spans="1:6" x14ac:dyDescent="0.3">
      <c r="A135" t="str" cm="1">
        <f t="array" ref="A135:A142">tblGrades[Grade]</f>
        <v>9</v>
      </c>
      <c r="B135" cm="1">
        <f t="array" ref="B135">COUNTA(_xlfn.UNIQUE(_xlfn._xlws.FILTER(tblStudyData[Student_ID],tblStudyData[Grade]=A135)))</f>
        <v>1</v>
      </c>
      <c r="C135" s="21">
        <f>AVERAGEIF(tblStudyData[Grade],A135,tblStudyData[Test_Score])</f>
        <v>80.732142857142861</v>
      </c>
      <c r="D135" s="20">
        <f>AVERAGEIF(tblStudyData[Grade],A135,tblStudyData[Attendance_Percentage])</f>
        <v>0.88410714285714298</v>
      </c>
      <c r="E135">
        <f>COUNTIFS(tblStudyData[Grade],A135,tblStudyData[Test_Score],"&gt;=40")</f>
        <v>56</v>
      </c>
      <c r="F135" t="str">
        <f>IF(C135&gt;=80,"Excellent",IF(C135&gt;=60,"Good",IF(C135&gt;=40,"Average","Poor")))</f>
        <v>Excellent</v>
      </c>
    </row>
    <row r="136" spans="1:6" x14ac:dyDescent="0.3">
      <c r="A136">
        <v>9</v>
      </c>
      <c r="B136" cm="1">
        <f t="array" ref="B136">COUNTA(_xlfn.UNIQUE(_xlfn._xlws.FILTER(tblStudyData[Student_ID],tblStudyData[Grade]=A136)))</f>
        <v>3</v>
      </c>
      <c r="C136" s="21">
        <f>AVERAGEIF(tblStudyData[Grade],A136,tblStudyData[Test_Score])</f>
        <v>80.732142857142861</v>
      </c>
      <c r="D136" s="20">
        <f>AVERAGEIF(tblStudyData[Grade],A136,tblStudyData[Attendance_Percentage])</f>
        <v>0.88410714285714298</v>
      </c>
      <c r="E136">
        <f>COUNTIFS(tblStudyData[Grade],A136,tblStudyData[Test_Score],"&gt;=40")</f>
        <v>56</v>
      </c>
      <c r="F136" t="str">
        <f t="shared" ref="F136:F141" si="4">IF(C136&gt;=80,"Excellent",IF(C136&gt;=60,"Good",IF(C136&gt;=40,"Average","Poor")))</f>
        <v>Excellent</v>
      </c>
    </row>
    <row r="137" spans="1:6" x14ac:dyDescent="0.3">
      <c r="A137">
        <v>10</v>
      </c>
      <c r="B137" cm="1">
        <f t="array" ref="B137">COUNTA(_xlfn.UNIQUE(_xlfn._xlws.FILTER(tblStudyData[Student_ID],tblStudyData[Grade]=A137)))</f>
        <v>4</v>
      </c>
      <c r="C137" s="21">
        <f>AVERAGEIF(tblStudyData[Grade],A137,tblStudyData[Test_Score])</f>
        <v>81.84615384615384</v>
      </c>
      <c r="D137" s="20">
        <f>AVERAGEIF(tblStudyData[Grade],A137,tblStudyData[Attendance_Percentage])</f>
        <v>0.88435897435897426</v>
      </c>
      <c r="E137">
        <f>COUNTIFS(tblStudyData[Grade],A137,tblStudyData[Test_Score],"&gt;=40")</f>
        <v>78</v>
      </c>
      <c r="F137" t="str">
        <f t="shared" si="4"/>
        <v>Excellent</v>
      </c>
    </row>
    <row r="138" spans="1:6" x14ac:dyDescent="0.3">
      <c r="A138">
        <v>10</v>
      </c>
      <c r="B138" cm="1">
        <f t="array" ref="B138">COUNTA(_xlfn.UNIQUE(_xlfn._xlws.FILTER(tblStudyData[Student_ID],tblStudyData[Grade]=A138)))</f>
        <v>4</v>
      </c>
      <c r="C138" s="21">
        <f>AVERAGEIF(tblStudyData[Grade],A138,tblStudyData[Test_Score])</f>
        <v>81.84615384615384</v>
      </c>
      <c r="D138" s="20">
        <f>AVERAGEIF(tblStudyData[Grade],A138,tblStudyData[Attendance_Percentage])</f>
        <v>0.88435897435897426</v>
      </c>
      <c r="E138">
        <f>COUNTIFS(tblStudyData[Grade],A138,tblStudyData[Test_Score],"&gt;=40")</f>
        <v>78</v>
      </c>
      <c r="F138" t="str">
        <f t="shared" si="4"/>
        <v>Excellent</v>
      </c>
    </row>
    <row r="139" spans="1:6" x14ac:dyDescent="0.3">
      <c r="A139">
        <v>11</v>
      </c>
      <c r="B139" cm="1">
        <f t="array" ref="B139">COUNTA(_xlfn.UNIQUE(_xlfn._xlws.FILTER(tblStudyData[Student_ID],tblStudyData[Grade]=A139)))</f>
        <v>4</v>
      </c>
      <c r="C139" s="21">
        <f>AVERAGEIF(tblStudyData[Grade],A139,tblStudyData[Test_Score])</f>
        <v>79.478723404255319</v>
      </c>
      <c r="D139" s="20">
        <f>AVERAGEIF(tblStudyData[Grade],A139,tblStudyData[Attendance_Percentage])</f>
        <v>0.92244680851063809</v>
      </c>
      <c r="E139">
        <f>COUNTIFS(tblStudyData[Grade],A139,tblStudyData[Test_Score],"&gt;=40")</f>
        <v>94</v>
      </c>
      <c r="F139" t="str">
        <f t="shared" si="4"/>
        <v>Good</v>
      </c>
    </row>
    <row r="140" spans="1:6" x14ac:dyDescent="0.3">
      <c r="A140">
        <v>11</v>
      </c>
      <c r="B140" cm="1">
        <f t="array" ref="B140">COUNTA(_xlfn.UNIQUE(_xlfn._xlws.FILTER(tblStudyData[Student_ID],tblStudyData[Grade]=A140)))</f>
        <v>4</v>
      </c>
      <c r="C140" s="21">
        <f>AVERAGEIF(tblStudyData[Grade],A140,tblStudyData[Test_Score])</f>
        <v>79.478723404255319</v>
      </c>
      <c r="D140" s="20">
        <f>AVERAGEIF(tblStudyData[Grade],A140,tblStudyData[Attendance_Percentage])</f>
        <v>0.92244680851063809</v>
      </c>
      <c r="E140">
        <f>COUNTIFS(tblStudyData[Grade],A140,tblStudyData[Test_Score],"&gt;=40")</f>
        <v>94</v>
      </c>
      <c r="F140" t="str">
        <f t="shared" si="4"/>
        <v>Good</v>
      </c>
    </row>
    <row r="141" spans="1:6" x14ac:dyDescent="0.3">
      <c r="A141">
        <v>12</v>
      </c>
      <c r="B141" cm="1">
        <f t="array" ref="B141">COUNTA(_xlfn.UNIQUE(_xlfn._xlws.FILTER(tblStudyData[Student_ID],tblStudyData[Grade]=A141)))</f>
        <v>3</v>
      </c>
      <c r="C141" s="21">
        <f>AVERAGEIF(tblStudyData[Grade],A141,tblStudyData[Test_Score])</f>
        <v>81.08620689655173</v>
      </c>
      <c r="D141" s="20">
        <f>AVERAGEIF(tblStudyData[Grade],A141,tblStudyData[Attendance_Percentage])</f>
        <v>0.88724137931034475</v>
      </c>
      <c r="E141">
        <f>COUNTIFS(tblStudyData[Grade],A141,tblStudyData[Test_Score],"&gt;=40")</f>
        <v>58</v>
      </c>
      <c r="F141" t="str">
        <f t="shared" si="4"/>
        <v>Excellent</v>
      </c>
    </row>
    <row r="142" spans="1:6" x14ac:dyDescent="0.3">
      <c r="A142">
        <v>12</v>
      </c>
      <c r="B142" cm="1">
        <f t="array" ref="B142">COUNTA(_xlfn.UNIQUE(_xlfn._xlws.FILTER(tblStudyData[Student_ID],tblStudyData[Grade]=A142)))</f>
        <v>3</v>
      </c>
      <c r="C142" s="21">
        <f>AVERAGEIF(tblStudyData[Grade],A142,tblStudyData[Test_Score])</f>
        <v>81.08620689655173</v>
      </c>
      <c r="D142" s="20">
        <f>AVERAGEIF(tblStudyData[Grade],A142,tblStudyData[Attendance_Percentage])</f>
        <v>0.88724137931034475</v>
      </c>
      <c r="E142">
        <f>COUNTIFS(tblStudyData[Grade],A142,tblStudyData[Test_Score],"&gt;=40")</f>
        <v>58</v>
      </c>
      <c r="F142" t="str">
        <f>IF(C142&gt;=80,"Excellent",IF(C142&gt;=60,"Good",IF(C142&gt;=40,"Average","Poor")))</f>
        <v>Excellent</v>
      </c>
    </row>
  </sheetData>
  <mergeCells count="6">
    <mergeCell ref="A107:B107"/>
    <mergeCell ref="A115:F115"/>
    <mergeCell ref="H107:I107"/>
    <mergeCell ref="A133:F133"/>
    <mergeCell ref="A1:L2"/>
    <mergeCell ref="A3:L3"/>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4C57B-2BC4-465A-96E9-62F2AFA9B541}">
  <sheetPr codeName="Sheet8">
    <tabColor rgb="FF7030A0"/>
  </sheetPr>
  <dimension ref="A1:R58"/>
  <sheetViews>
    <sheetView zoomScale="70" zoomScaleNormal="70" workbookViewId="0">
      <selection activeCell="I25" sqref="I25"/>
    </sheetView>
  </sheetViews>
  <sheetFormatPr defaultRowHeight="14.4" x14ac:dyDescent="0.3"/>
  <cols>
    <col min="1" max="12" width="21.6640625" customWidth="1"/>
    <col min="13" max="13" width="16.33203125" customWidth="1"/>
    <col min="15" max="15" width="11.44140625" customWidth="1"/>
    <col min="17" max="17" width="15.77734375" bestFit="1" customWidth="1"/>
    <col min="18" max="18" width="15.88671875" bestFit="1" customWidth="1"/>
    <col min="20" max="20" width="8.5546875" bestFit="1" customWidth="1"/>
    <col min="22" max="22" width="14" bestFit="1" customWidth="1"/>
    <col min="25" max="25" width="9.21875" bestFit="1" customWidth="1"/>
    <col min="28" max="28" width="13.44140625" bestFit="1" customWidth="1"/>
  </cols>
  <sheetData>
    <row r="1" spans="1:18" ht="22.8" customHeight="1" x14ac:dyDescent="0.3">
      <c r="A1" s="95" t="s">
        <v>510</v>
      </c>
      <c r="B1" s="95"/>
      <c r="C1" s="95"/>
      <c r="D1" s="95"/>
      <c r="E1" s="95"/>
      <c r="F1" s="95"/>
      <c r="G1" s="95"/>
      <c r="H1" s="95"/>
      <c r="I1" s="95"/>
      <c r="J1" s="95"/>
      <c r="K1" s="95"/>
      <c r="L1" s="95"/>
    </row>
    <row r="2" spans="1:18" ht="22.8" customHeight="1" x14ac:dyDescent="0.3">
      <c r="A2" s="95"/>
      <c r="B2" s="95"/>
      <c r="C2" s="95"/>
      <c r="D2" s="95"/>
      <c r="E2" s="95"/>
      <c r="F2" s="95"/>
      <c r="G2" s="95"/>
      <c r="H2" s="95"/>
      <c r="I2" s="95"/>
      <c r="J2" s="95"/>
      <c r="K2" s="95"/>
      <c r="L2" s="95"/>
    </row>
    <row r="3" spans="1:18" ht="30" customHeight="1" x14ac:dyDescent="0.3">
      <c r="A3" s="96"/>
      <c r="B3" s="96"/>
      <c r="C3" s="96"/>
      <c r="D3" s="96"/>
      <c r="E3" s="96"/>
      <c r="F3" s="96"/>
      <c r="G3" s="96"/>
      <c r="H3" s="96"/>
      <c r="I3" s="96"/>
      <c r="J3" s="96"/>
      <c r="K3" s="96"/>
      <c r="L3" s="96"/>
    </row>
    <row r="4" spans="1:18" x14ac:dyDescent="0.3">
      <c r="A4" s="104" t="s">
        <v>94</v>
      </c>
      <c r="B4" s="104"/>
      <c r="C4" s="104"/>
      <c r="D4" s="104"/>
      <c r="E4" s="104"/>
      <c r="H4" s="8"/>
    </row>
    <row r="5" spans="1:18" x14ac:dyDescent="0.3">
      <c r="A5" s="10" t="s">
        <v>2</v>
      </c>
      <c r="B5" s="11" t="s">
        <v>3</v>
      </c>
      <c r="C5" s="12" t="s">
        <v>4</v>
      </c>
      <c r="D5" s="13" t="s">
        <v>5</v>
      </c>
      <c r="E5" s="13" t="s">
        <v>6</v>
      </c>
      <c r="F5" s="6"/>
      <c r="G5" s="6" t="s">
        <v>87</v>
      </c>
      <c r="H5" s="8"/>
      <c r="I5" s="19" t="s">
        <v>418</v>
      </c>
      <c r="K5" s="3" t="s">
        <v>89</v>
      </c>
      <c r="Q5" s="6"/>
      <c r="R5" s="6"/>
    </row>
    <row r="6" spans="1:18" x14ac:dyDescent="0.3">
      <c r="A6" t="s">
        <v>26</v>
      </c>
      <c r="B6" t="s">
        <v>31</v>
      </c>
      <c r="C6" t="s">
        <v>36</v>
      </c>
      <c r="D6">
        <v>10</v>
      </c>
      <c r="E6" t="s">
        <v>38</v>
      </c>
      <c r="G6" t="s">
        <v>41</v>
      </c>
      <c r="I6" s="17" t="s">
        <v>49</v>
      </c>
      <c r="K6" s="16" t="s">
        <v>56</v>
      </c>
    </row>
    <row r="7" spans="1:18" x14ac:dyDescent="0.3">
      <c r="A7" t="s">
        <v>27</v>
      </c>
      <c r="B7" t="s">
        <v>32</v>
      </c>
      <c r="C7" t="s">
        <v>37</v>
      </c>
      <c r="D7">
        <v>10</v>
      </c>
      <c r="E7" t="s">
        <v>38</v>
      </c>
      <c r="G7" t="s">
        <v>40</v>
      </c>
      <c r="I7" s="18" t="s">
        <v>88</v>
      </c>
      <c r="K7" s="14" t="s">
        <v>54</v>
      </c>
    </row>
    <row r="8" spans="1:18" x14ac:dyDescent="0.3">
      <c r="A8" t="s">
        <v>28</v>
      </c>
      <c r="B8" t="s">
        <v>33</v>
      </c>
      <c r="C8" t="s">
        <v>36</v>
      </c>
      <c r="D8">
        <v>11</v>
      </c>
      <c r="E8" t="s">
        <v>39</v>
      </c>
      <c r="G8" s="15" t="s">
        <v>42</v>
      </c>
      <c r="I8" s="17" t="s">
        <v>50</v>
      </c>
      <c r="K8" s="15" t="s">
        <v>55</v>
      </c>
    </row>
    <row r="9" spans="1:18" x14ac:dyDescent="0.3">
      <c r="A9" t="s">
        <v>29</v>
      </c>
      <c r="B9" t="s">
        <v>34</v>
      </c>
      <c r="C9" t="s">
        <v>37</v>
      </c>
      <c r="E9" t="s">
        <v>39</v>
      </c>
      <c r="G9" s="14" t="s">
        <v>43</v>
      </c>
      <c r="I9" s="18" t="s">
        <v>51</v>
      </c>
    </row>
    <row r="10" spans="1:18" x14ac:dyDescent="0.3">
      <c r="A10" t="s">
        <v>30</v>
      </c>
      <c r="B10" t="s">
        <v>35</v>
      </c>
      <c r="C10" t="s">
        <v>36</v>
      </c>
      <c r="D10">
        <v>12</v>
      </c>
      <c r="E10" t="s">
        <v>38</v>
      </c>
      <c r="G10" s="15" t="s">
        <v>44</v>
      </c>
    </row>
    <row r="11" spans="1:18" x14ac:dyDescent="0.3">
      <c r="A11" t="s">
        <v>66</v>
      </c>
      <c r="B11" t="s">
        <v>76</v>
      </c>
      <c r="C11" t="s">
        <v>37</v>
      </c>
      <c r="D11">
        <v>11</v>
      </c>
      <c r="E11" t="s">
        <v>38</v>
      </c>
      <c r="G11" s="14" t="s">
        <v>86</v>
      </c>
    </row>
    <row r="12" spans="1:18" x14ac:dyDescent="0.3">
      <c r="A12" t="s">
        <v>67</v>
      </c>
      <c r="B12" t="s">
        <v>77</v>
      </c>
      <c r="C12" t="s">
        <v>36</v>
      </c>
      <c r="D12">
        <v>9</v>
      </c>
      <c r="E12" t="s">
        <v>38</v>
      </c>
    </row>
    <row r="13" spans="1:18" x14ac:dyDescent="0.3">
      <c r="A13" t="s">
        <v>68</v>
      </c>
      <c r="B13" t="s">
        <v>78</v>
      </c>
      <c r="C13" t="s">
        <v>37</v>
      </c>
      <c r="D13">
        <v>12</v>
      </c>
      <c r="E13" t="s">
        <v>39</v>
      </c>
    </row>
    <row r="14" spans="1:18" x14ac:dyDescent="0.3">
      <c r="A14" t="s">
        <v>69</v>
      </c>
      <c r="B14" t="s">
        <v>79</v>
      </c>
      <c r="C14" t="s">
        <v>36</v>
      </c>
      <c r="D14">
        <v>10</v>
      </c>
      <c r="E14" t="s">
        <v>39</v>
      </c>
    </row>
    <row r="15" spans="1:18" x14ac:dyDescent="0.3">
      <c r="A15" t="s">
        <v>70</v>
      </c>
      <c r="B15" t="s">
        <v>80</v>
      </c>
      <c r="C15" t="s">
        <v>37</v>
      </c>
      <c r="D15">
        <v>11</v>
      </c>
      <c r="E15" t="s">
        <v>39</v>
      </c>
    </row>
    <row r="16" spans="1:18" x14ac:dyDescent="0.3">
      <c r="A16" t="s">
        <v>71</v>
      </c>
      <c r="B16" t="s">
        <v>81</v>
      </c>
      <c r="C16" t="s">
        <v>36</v>
      </c>
      <c r="D16">
        <v>9</v>
      </c>
      <c r="E16" t="s">
        <v>39</v>
      </c>
    </row>
    <row r="17" spans="1:9" x14ac:dyDescent="0.3">
      <c r="A17" t="s">
        <v>72</v>
      </c>
      <c r="B17" t="s">
        <v>82</v>
      </c>
      <c r="C17" t="s">
        <v>37</v>
      </c>
      <c r="D17">
        <v>12</v>
      </c>
      <c r="E17" t="s">
        <v>38</v>
      </c>
    </row>
    <row r="18" spans="1:9" x14ac:dyDescent="0.3">
      <c r="A18" t="s">
        <v>73</v>
      </c>
      <c r="B18" t="s">
        <v>83</v>
      </c>
      <c r="C18" t="s">
        <v>36</v>
      </c>
      <c r="D18">
        <v>10</v>
      </c>
      <c r="E18" t="s">
        <v>38</v>
      </c>
      <c r="G18" t="s">
        <v>419</v>
      </c>
      <c r="I18" s="3" t="s">
        <v>92</v>
      </c>
    </row>
    <row r="19" spans="1:9" x14ac:dyDescent="0.3">
      <c r="A19" t="s">
        <v>74</v>
      </c>
      <c r="B19" t="s">
        <v>84</v>
      </c>
      <c r="C19" t="s">
        <v>37</v>
      </c>
      <c r="D19">
        <v>11</v>
      </c>
      <c r="E19" t="s">
        <v>38</v>
      </c>
      <c r="G19" t="s">
        <v>58</v>
      </c>
      <c r="I19" t="s">
        <v>61</v>
      </c>
    </row>
    <row r="20" spans="1:9" x14ac:dyDescent="0.3">
      <c r="A20" t="s">
        <v>75</v>
      </c>
      <c r="B20" t="s">
        <v>85</v>
      </c>
      <c r="C20" t="s">
        <v>36</v>
      </c>
      <c r="D20">
        <v>9</v>
      </c>
      <c r="E20" t="s">
        <v>38</v>
      </c>
      <c r="G20" t="s">
        <v>90</v>
      </c>
      <c r="I20" t="s">
        <v>62</v>
      </c>
    </row>
    <row r="21" spans="1:9" x14ac:dyDescent="0.3">
      <c r="G21" t="s">
        <v>91</v>
      </c>
      <c r="I21" t="s">
        <v>63</v>
      </c>
    </row>
    <row r="22" spans="1:9" x14ac:dyDescent="0.3">
      <c r="G22" t="s">
        <v>59</v>
      </c>
      <c r="I22" t="s">
        <v>64</v>
      </c>
    </row>
    <row r="23" spans="1:9" x14ac:dyDescent="0.3">
      <c r="G23" t="s">
        <v>57</v>
      </c>
      <c r="I23" t="s">
        <v>65</v>
      </c>
    </row>
    <row r="24" spans="1:9" x14ac:dyDescent="0.3">
      <c r="G24" t="s">
        <v>60</v>
      </c>
      <c r="I24" t="s">
        <v>93</v>
      </c>
    </row>
    <row r="32" spans="1:9" x14ac:dyDescent="0.3">
      <c r="C32" s="104" t="s">
        <v>415</v>
      </c>
      <c r="D32" s="104"/>
    </row>
    <row r="33" spans="3:11" x14ac:dyDescent="0.3">
      <c r="F33" s="93"/>
    </row>
    <row r="34" spans="3:11" x14ac:dyDescent="0.3">
      <c r="C34" t="s">
        <v>7</v>
      </c>
      <c r="D34" t="s">
        <v>8</v>
      </c>
      <c r="H34" s="7" t="s">
        <v>5</v>
      </c>
      <c r="I34" s="7" t="s">
        <v>6</v>
      </c>
    </row>
    <row r="35" spans="3:11" x14ac:dyDescent="0.3">
      <c r="C35" t="s">
        <v>41</v>
      </c>
      <c r="D35" t="s">
        <v>45</v>
      </c>
      <c r="H35" s="9" t="s">
        <v>416</v>
      </c>
      <c r="I35" t="s">
        <v>38</v>
      </c>
      <c r="K35" t="s">
        <v>4</v>
      </c>
    </row>
    <row r="36" spans="3:11" x14ac:dyDescent="0.3">
      <c r="C36" t="s">
        <v>41</v>
      </c>
      <c r="D36" t="s">
        <v>95</v>
      </c>
      <c r="H36">
        <v>9</v>
      </c>
      <c r="I36" t="s">
        <v>39</v>
      </c>
      <c r="K36" t="s">
        <v>36</v>
      </c>
    </row>
    <row r="37" spans="3:11" x14ac:dyDescent="0.3">
      <c r="C37" t="s">
        <v>41</v>
      </c>
      <c r="D37" t="s">
        <v>96</v>
      </c>
      <c r="H37">
        <v>10</v>
      </c>
      <c r="I37" t="s">
        <v>38</v>
      </c>
      <c r="K37" t="s">
        <v>37</v>
      </c>
    </row>
    <row r="38" spans="3:11" x14ac:dyDescent="0.3">
      <c r="C38" t="s">
        <v>41</v>
      </c>
      <c r="D38" t="s">
        <v>97</v>
      </c>
      <c r="H38">
        <v>10</v>
      </c>
      <c r="I38" t="s">
        <v>39</v>
      </c>
    </row>
    <row r="39" spans="3:11" x14ac:dyDescent="0.3">
      <c r="C39" t="s">
        <v>40</v>
      </c>
      <c r="D39" t="s">
        <v>46</v>
      </c>
      <c r="H39">
        <v>11</v>
      </c>
      <c r="I39" t="s">
        <v>38</v>
      </c>
    </row>
    <row r="40" spans="3:11" x14ac:dyDescent="0.3">
      <c r="C40" t="s">
        <v>40</v>
      </c>
      <c r="D40" t="s">
        <v>98</v>
      </c>
      <c r="H40">
        <v>11</v>
      </c>
      <c r="I40" t="s">
        <v>39</v>
      </c>
    </row>
    <row r="41" spans="3:11" x14ac:dyDescent="0.3">
      <c r="C41" t="s">
        <v>40</v>
      </c>
      <c r="D41" t="s">
        <v>99</v>
      </c>
      <c r="H41">
        <v>12</v>
      </c>
      <c r="I41" t="s">
        <v>38</v>
      </c>
    </row>
    <row r="42" spans="3:11" x14ac:dyDescent="0.3">
      <c r="C42" t="s">
        <v>40</v>
      </c>
      <c r="D42" t="s">
        <v>100</v>
      </c>
      <c r="H42">
        <v>12</v>
      </c>
      <c r="I42" t="s">
        <v>39</v>
      </c>
    </row>
    <row r="43" spans="3:11" x14ac:dyDescent="0.3">
      <c r="C43" t="s">
        <v>42</v>
      </c>
      <c r="D43" t="s">
        <v>47</v>
      </c>
    </row>
    <row r="44" spans="3:11" x14ac:dyDescent="0.3">
      <c r="C44" t="s">
        <v>42</v>
      </c>
      <c r="D44" t="s">
        <v>101</v>
      </c>
    </row>
    <row r="45" spans="3:11" x14ac:dyDescent="0.3">
      <c r="C45" t="s">
        <v>42</v>
      </c>
      <c r="D45" t="s">
        <v>102</v>
      </c>
    </row>
    <row r="46" spans="3:11" x14ac:dyDescent="0.3">
      <c r="C46" t="s">
        <v>42</v>
      </c>
      <c r="D46" t="s">
        <v>103</v>
      </c>
    </row>
    <row r="47" spans="3:11" x14ac:dyDescent="0.3">
      <c r="C47" t="s">
        <v>43</v>
      </c>
      <c r="D47" t="s">
        <v>104</v>
      </c>
    </row>
    <row r="48" spans="3:11" x14ac:dyDescent="0.3">
      <c r="C48" t="s">
        <v>43</v>
      </c>
      <c r="D48" t="s">
        <v>105</v>
      </c>
    </row>
    <row r="49" spans="3:4" x14ac:dyDescent="0.3">
      <c r="C49" t="s">
        <v>43</v>
      </c>
      <c r="D49" t="s">
        <v>106</v>
      </c>
    </row>
    <row r="50" spans="3:4" x14ac:dyDescent="0.3">
      <c r="C50" t="s">
        <v>43</v>
      </c>
      <c r="D50" t="s">
        <v>107</v>
      </c>
    </row>
    <row r="51" spans="3:4" x14ac:dyDescent="0.3">
      <c r="C51" t="s">
        <v>44</v>
      </c>
      <c r="D51" t="s">
        <v>48</v>
      </c>
    </row>
    <row r="52" spans="3:4" x14ac:dyDescent="0.3">
      <c r="C52" t="s">
        <v>44</v>
      </c>
      <c r="D52" t="s">
        <v>108</v>
      </c>
    </row>
    <row r="53" spans="3:4" x14ac:dyDescent="0.3">
      <c r="C53" t="s">
        <v>44</v>
      </c>
      <c r="D53" t="s">
        <v>109</v>
      </c>
    </row>
    <row r="54" spans="3:4" x14ac:dyDescent="0.3">
      <c r="C54" t="s">
        <v>44</v>
      </c>
      <c r="D54" t="s">
        <v>110</v>
      </c>
    </row>
    <row r="55" spans="3:4" x14ac:dyDescent="0.3">
      <c r="C55" t="s">
        <v>86</v>
      </c>
      <c r="D55" t="s">
        <v>111</v>
      </c>
    </row>
    <row r="56" spans="3:4" x14ac:dyDescent="0.3">
      <c r="C56" t="s">
        <v>86</v>
      </c>
      <c r="D56" t="s">
        <v>112</v>
      </c>
    </row>
    <row r="57" spans="3:4" x14ac:dyDescent="0.3">
      <c r="C57" t="s">
        <v>86</v>
      </c>
      <c r="D57" t="s">
        <v>113</v>
      </c>
    </row>
    <row r="58" spans="3:4" x14ac:dyDescent="0.3">
      <c r="C58" t="s">
        <v>86</v>
      </c>
      <c r="D58" t="s">
        <v>114</v>
      </c>
    </row>
  </sheetData>
  <mergeCells count="4">
    <mergeCell ref="C32:D32"/>
    <mergeCell ref="A4:E4"/>
    <mergeCell ref="A1:L2"/>
    <mergeCell ref="A3:L3"/>
  </mergeCells>
  <phoneticPr fontId="2" type="noConversion"/>
  <pageMargins left="0.7" right="0.7" top="0.75" bottom="0.75" header="0.3" footer="0.3"/>
  <pageSetup paperSize="9" orientation="portrait" r:id="rId1"/>
  <drawing r:id="rId2"/>
  <tableParts count="8">
    <tablePart r:id="rId3"/>
    <tablePart r:id="rId4"/>
    <tablePart r:id="rId5"/>
    <tablePart r:id="rId6"/>
    <tablePart r:id="rId7"/>
    <tablePart r:id="rId8"/>
    <tablePart r:id="rId9"/>
    <tablePart r:id="rId1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0CF0EB0-967A-4B79-853C-D50FC89BE5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17</vt:i4>
      </vt:variant>
    </vt:vector>
  </HeadingPairs>
  <TitlesOfParts>
    <vt:vector size="24" baseType="lpstr">
      <vt:lpstr>05_Reports</vt:lpstr>
      <vt:lpstr>01_Raw_Data</vt:lpstr>
      <vt:lpstr>07_Chart_Data</vt:lpstr>
      <vt:lpstr>04_Pivot</vt:lpstr>
      <vt:lpstr>06_Dashboard</vt:lpstr>
      <vt:lpstr>03_Calculations</vt:lpstr>
      <vt:lpstr>02_Master_Data</vt:lpstr>
      <vt:lpstr>AA</vt:lpstr>
      <vt:lpstr>BB</vt:lpstr>
      <vt:lpstr>Biology</vt:lpstr>
      <vt:lpstr>Chemistry</vt:lpstr>
      <vt:lpstr>Computer_science</vt:lpstr>
      <vt:lpstr>dd</vt:lpstr>
      <vt:lpstr>Difficulty</vt:lpstr>
      <vt:lpstr>ee</vt:lpstr>
      <vt:lpstr>English</vt:lpstr>
      <vt:lpstr>Mathematics</vt:lpstr>
      <vt:lpstr>Physics</vt:lpstr>
      <vt:lpstr>SessionList</vt:lpstr>
      <vt:lpstr>ss</vt:lpstr>
      <vt:lpstr>StudentList</vt:lpstr>
      <vt:lpstr>Study</vt:lpstr>
      <vt:lpstr>Teachers</vt:lpstr>
      <vt:lpstr>WeekList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 Srinu</dc:creator>
  <cp:lastModifiedBy>Naga Srinu</cp:lastModifiedBy>
  <cp:lastPrinted>2026-09-10T16:11:21Z</cp:lastPrinted>
  <dcterms:created xsi:type="dcterms:W3CDTF">2026-09-04T13:04:16Z</dcterms:created>
  <dcterms:modified xsi:type="dcterms:W3CDTF">2026-10-19T08:41:03Z</dcterms:modified>
</cp:coreProperties>
</file>